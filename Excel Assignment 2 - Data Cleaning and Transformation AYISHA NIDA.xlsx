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072" activeTab="2"/>
  </bookViews>
  <sheets>
    <sheet name="Instructions" sheetId="1" r:id="rId1"/>
    <sheet name="Dataset" sheetId="2" r:id="rId2"/>
    <sheet name="Solution1" sheetId="3" r:id="rId3"/>
    <sheet name="Solution2" sheetId="4" r:id="rId4"/>
    <sheet name="Solution3" sheetId="7" r:id="rId5"/>
    <sheet name="Solution4" sheetId="9" r:id="rId6"/>
    <sheet name="Solution5" sheetId="11" r:id="rId7"/>
    <sheet name="Solution6" sheetId="12" r:id="rId8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rIR6213FxEpgZ/k1UDjxyMHI45/G9Bc960XOAAH4UN4=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2" i="3"/>
  <c r="H8" i="3" l="1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" i="3"/>
  <c r="H4" i="3"/>
  <c r="H5" i="3"/>
  <c r="H6" i="3"/>
  <c r="H7" i="3"/>
  <c r="H2" i="3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2" i="9"/>
</calcChain>
</file>

<file path=xl/sharedStrings.xml><?xml version="1.0" encoding="utf-8"?>
<sst xmlns="http://schemas.openxmlformats.org/spreadsheetml/2006/main" count="981" uniqueCount="148">
  <si>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</si>
  <si>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</si>
  <si>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</si>
  <si>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</si>
  <si>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</si>
  <si>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</si>
  <si>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</si>
  <si>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</si>
  <si>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</si>
  <si>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</si>
  <si>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</si>
  <si>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</si>
  <si>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</si>
  <si>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</si>
  <si>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</si>
  <si>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</si>
  <si>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</si>
  <si>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</si>
  <si>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</si>
  <si>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</si>
  <si>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</si>
  <si>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</si>
  <si>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</si>
  <si>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</si>
  <si>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</si>
  <si>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</si>
  <si>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</si>
  <si>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</si>
  <si>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</si>
  <si>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</si>
  <si>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</si>
  <si>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</si>
  <si>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</si>
  <si>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</si>
  <si>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</si>
  <si>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</si>
  <si>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</si>
  <si>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</si>
  <si>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</si>
  <si>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</si>
  <si>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</si>
  <si>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</si>
  <si>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</si>
  <si>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</si>
  <si>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</si>
  <si>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</si>
  <si>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</si>
  <si>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</si>
  <si>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</si>
  <si>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</si>
  <si>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</si>
  <si>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</si>
  <si>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</si>
  <si>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</si>
  <si>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</si>
  <si>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</si>
  <si>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</si>
  <si>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</si>
  <si>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</si>
  <si>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</si>
  <si>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</si>
  <si>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</si>
  <si>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</si>
  <si>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</si>
  <si>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</si>
  <si>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</si>
  <si>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</si>
  <si>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</si>
  <si>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</si>
  <si>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</si>
  <si>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</si>
  <si>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</si>
  <si>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</si>
  <si>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</si>
  <si>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</si>
  <si>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</si>
  <si>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</si>
  <si>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</si>
  <si>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</si>
  <si>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</si>
  <si>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</si>
  <si>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</si>
  <si>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</si>
  <si>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</si>
  <si>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</si>
  <si>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</si>
  <si>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</si>
  <si>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</si>
  <si>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</si>
  <si>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</si>
  <si>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</si>
  <si>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</si>
  <si>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</si>
  <si>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</si>
  <si>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</si>
  <si>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</si>
  <si>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</si>
  <si>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</si>
  <si>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</si>
  <si>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</si>
  <si>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</si>
  <si>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</si>
  <si>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</si>
  <si>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</si>
  <si>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</si>
  <si>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</si>
  <si>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</si>
  <si>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</si>
  <si>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</si>
  <si>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</si>
  <si>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</si>
  <si>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</si>
  <si>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</si>
  <si>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</si>
  <si>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</si>
  <si>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</si>
  <si>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</si>
  <si>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</si>
  <si>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</si>
  <si>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</si>
  <si>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</si>
  <si>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</si>
  <si>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</si>
  <si>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</si>
  <si>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</si>
  <si>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</si>
  <si>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</si>
  <si>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</si>
  <si>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Country code</t>
  </si>
  <si>
    <t>Manufacturing date</t>
  </si>
  <si>
    <t>Product Brand</t>
  </si>
  <si>
    <t xml:space="preserve">Imputation </t>
  </si>
  <si>
    <t xml:space="preserve">Unknown </t>
  </si>
  <si>
    <t>Number Formatting: Price values were formatted as Currency ($), and Manufacturing Date values were formatted using the DD-MM-YYYY format. Since the original Product ID did not include a year, 2026 was assumed as the default year for the manufacturing dates.</t>
  </si>
  <si>
    <t>Conditional formatting was applied to the Price column using Data Bars to visually compare price values.</t>
  </si>
  <si>
    <t>A new conditional formatting rule was created for the Category column to highlight cells containing “Electronics”.</t>
  </si>
  <si>
    <t>Duplicate records were identified using Excel’s Remove Duplicates feature. Three duplicate records were found and removed to ensure each record appears only once.</t>
  </si>
  <si>
    <t xml:space="preserve">"Product ID"was split into "Manufacturing Date" and "Country Code" using" Text to Columns". </t>
  </si>
  <si>
    <t>"Brand Name" and "Product Name" were merged using the " CONCATENATE" function to create a new" Product Brand" column.</t>
  </si>
  <si>
    <t>Inconsistent data was identified by filtering the Product Name and Category columns and checking for different spellings, capitalization, and variations of the same value. Find &amp; Replace was then used to standardize the values.</t>
  </si>
  <si>
    <t>Missing values were identified using the IF and ISBLANK functions .</t>
  </si>
  <si>
    <t>For the Category column blank cell were replaced with "Unknown ".</t>
  </si>
  <si>
    <t>IF(ISBLANK(F2),"Unknown",F2)</t>
  </si>
  <si>
    <t>For the Price column, missing numerical values were replaced using an appropriate statistical measures such as Mean,Median or Mode</t>
  </si>
  <si>
    <t>Here we use median because data contains outliers value</t>
  </si>
  <si>
    <t>Replaced Price</t>
  </si>
  <si>
    <t xml:space="preserve">Replaced Category </t>
  </si>
  <si>
    <t>IF(ISBLANK(D2),MEDIAN(D2:D35),D2)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</si>
</sst>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dd\-mm\-yyyy"/>
  </numFmts>
  <fonts count="18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scheme val="minor"/>
    </font>
    <font>
      <b/>
      <sz val="10"/>
      <color theme="4" tint="-0.249977111117893"/>
      <name val="Arial"/>
      <scheme val="minor"/>
    </font>
    <font>
      <b/>
      <sz val="10"/>
      <color theme="3" tint="9.9978637043366805E-2"/>
      <name val="Arial"/>
      <scheme val="minor"/>
    </font>
    <font>
      <b/>
      <sz val="10"/>
      <color theme="7" tint="-0.499984740745262"/>
      <name val="Arial"/>
      <scheme val="minor"/>
    </font>
    <font>
      <b/>
      <sz val="10"/>
      <color theme="6" tint="-0.499984740745262"/>
      <name val="Arial"/>
      <scheme val="minor"/>
    </font>
    <font>
      <sz val="10"/>
      <color rgb="FF000000"/>
      <name val="Arial Unicode MS"/>
    </font>
    <font>
      <sz val="11"/>
      <color theme="7" tint="-0.249977111117893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3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0" fillId="0" borderId="0" xfId="0" applyFont="1" applyAlignment="1">
      <alignment horizontal="center"/>
    </xf>
    <xf numFmtId="1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44" fontId="5" fillId="0" borderId="0" xfId="1" applyFont="1"/>
    <xf numFmtId="44" fontId="5" fillId="3" borderId="0" xfId="1" applyFont="1" applyFill="1"/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4" fontId="0" fillId="0" borderId="0" xfId="0" applyNumberFormat="1" applyFont="1" applyAlignment="1"/>
    <xf numFmtId="0" fontId="9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1" fillId="0" borderId="0" xfId="0" applyFont="1" applyAlignment="1"/>
    <xf numFmtId="0" fontId="11" fillId="4" borderId="0" xfId="0" applyFont="1" applyFill="1" applyAlignment="1"/>
    <xf numFmtId="0" fontId="12" fillId="5" borderId="0" xfId="0" applyFont="1" applyFill="1" applyAlignment="1">
      <alignment wrapText="1"/>
    </xf>
    <xf numFmtId="0" fontId="13" fillId="6" borderId="0" xfId="0" applyFont="1" applyFill="1" applyAlignment="1">
      <alignment wrapText="1"/>
    </xf>
    <xf numFmtId="0" fontId="14" fillId="7" borderId="0" xfId="0" applyFont="1" applyFill="1" applyAlignment="1">
      <alignment wrapText="1"/>
    </xf>
    <xf numFmtId="0" fontId="15" fillId="7" borderId="0" xfId="0" applyFont="1" applyFill="1" applyAlignment="1">
      <alignment wrapText="1"/>
    </xf>
    <xf numFmtId="0" fontId="15" fillId="8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0" fillId="9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17" fillId="7" borderId="0" xfId="0" applyFont="1" applyFill="1" applyAlignment="1">
      <alignment vertical="top" wrapText="1"/>
    </xf>
    <xf numFmtId="0" fontId="7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36"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dd\-mm\-yyyy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dd\-mmm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id="1" name="Table1" displayName="Table1" ref="A1:F35" totalsRowShown="0" headerRowDxfId="35" dataDxfId="34">
  <autoFilter ref="A1:F35"/>
  <tableColumns count="6">
    <tableColumn id="1" name="Product ID" dataDxfId="33"/>
    <tableColumn id="3" name="Product Name" dataDxfId="32"/>
    <tableColumn id="4" name="Brand Name" dataDxfId="31"/>
    <tableColumn id="5" name="Price ($)" dataDxfId="30"/>
    <tableColumn id="6" name="Quantity" dataDxfId="29"/>
    <tableColumn id="7" name="Category" dataDxfId="28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32" totalsRowShown="0" headerRowDxfId="27" dataDxfId="26">
  <autoFilter ref="A1:F32"/>
  <tableColumns count="6">
    <tableColumn id="1" name="Product ID" dataDxfId="25"/>
    <tableColumn id="2" name="Product Name" dataDxfId="24"/>
    <tableColumn id="3" name="Brand Name" dataDxfId="23"/>
    <tableColumn id="4" name="Price ($)" dataDxfId="22"/>
    <tableColumn id="5" name="Quantity" dataDxfId="21"/>
    <tableColumn id="6" name="Category" dataDxfId="20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32" totalsRowShown="0" headerRowDxfId="19" dataDxfId="18">
  <autoFilter ref="A1:H32"/>
  <tableColumns count="8">
    <tableColumn id="1" name="Manufacturing date" dataDxfId="17"/>
    <tableColumn id="2" name="Country code" dataDxfId="16"/>
    <tableColumn id="3" name="Product Name" dataDxfId="15"/>
    <tableColumn id="4" name="Brand Name" dataDxfId="14"/>
    <tableColumn id="5" name="Product Brand" dataDxfId="13">
      <calculatedColumnFormula>CONCATENATE(C2," ",D2)</calculatedColumnFormula>
    </tableColumn>
    <tableColumn id="6" name="Price ($)" dataDxfId="12"/>
    <tableColumn id="7" name="Quantity" dataDxfId="11"/>
    <tableColumn id="8" name="Category" dataDxfId="10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32" totalsRowShown="0" headerRowDxfId="9">
  <autoFilter ref="A1:H32"/>
  <tableColumns count="8">
    <tableColumn id="1" name="Manufacturing date" dataDxfId="8"/>
    <tableColumn id="2" name="Country code" dataDxfId="7"/>
    <tableColumn id="3" name="Product Name" dataDxfId="6"/>
    <tableColumn id="4" name="Brand Name" dataDxfId="5"/>
    <tableColumn id="5" name="Product Brand" dataDxfId="4">
      <calculatedColumnFormula>CONCATENATE(C2," ",D2)</calculatedColumnFormula>
    </tableColumn>
    <tableColumn id="6" name="Price ($)" dataDxfId="3" dataCellStyle="Currency"/>
    <tableColumn id="7" name="Quantity" dataDxfId="2"/>
    <tableColumn id="8" name="Category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showGridLines="0" workbookViewId="0">
      <selection activeCell="G36" sqref="G36"/>
    </sheetView>
  </sheetViews>
  <sheetFormatPr defaultColWidth="12.6640625" defaultRowHeight="15" customHeight="1"/>
  <cols>
    <col min="1" max="1" width="12.6640625" customWidth="1"/>
    <col min="2" max="2" width="7.44140625" customWidth="1"/>
    <col min="3" max="6" width="12.6640625" customWidth="1"/>
  </cols>
  <sheetData>
    <row r="1" spans="1:11" ht="15.75" customHeight="1">
      <c r="A1" s="1" t="s">
        <v>0</v>
      </c>
    </row>
    <row r="2" spans="1:11" ht="15.75" customHeight="1"/>
    <row r="3" spans="1:11" ht="15.75" customHeight="1">
      <c r="B3" s="2" t="s">
        <v>1</v>
      </c>
    </row>
    <row r="4" spans="1:11" ht="15.75" customHeight="1">
      <c r="C4" s="3" t="s">
        <v>2</v>
      </c>
    </row>
    <row r="5" spans="1:11" ht="15.75" customHeight="1">
      <c r="B5" s="4"/>
      <c r="C5" s="3" t="s">
        <v>3</v>
      </c>
    </row>
    <row r="6" spans="1:11" ht="15.75" customHeight="1">
      <c r="B6" s="4"/>
    </row>
    <row r="7" spans="1:11" ht="15.75" customHeight="1">
      <c r="B7" s="2" t="s">
        <v>4</v>
      </c>
    </row>
    <row r="8" spans="1:11" ht="15.75" customHeight="1">
      <c r="C8" s="3" t="s">
        <v>5</v>
      </c>
    </row>
    <row r="9" spans="1:11" ht="15.75" customHeight="1">
      <c r="C9" s="3" t="s">
        <v>6</v>
      </c>
    </row>
    <row r="10" spans="1:11" ht="15.75" customHeight="1">
      <c r="C10" s="3" t="s">
        <v>7</v>
      </c>
    </row>
    <row r="11" spans="1:11" ht="15.75" customHeight="1">
      <c r="B11" s="4"/>
    </row>
    <row r="12" spans="1:11" ht="15.75" customHeight="1">
      <c r="B12" s="2" t="s">
        <v>8</v>
      </c>
    </row>
    <row r="13" spans="1:11" ht="15.75" customHeight="1">
      <c r="B13" s="2"/>
      <c r="C13" s="3" t="s">
        <v>9</v>
      </c>
    </row>
    <row r="14" spans="1:11" ht="15.75" customHeight="1"/>
    <row r="15" spans="1:11" ht="15.75" customHeight="1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topLeftCell="A14" workbookViewId="0">
      <selection activeCell="C37" sqref="C37"/>
    </sheetView>
  </sheetViews>
  <sheetFormatPr defaultColWidth="12.6640625" defaultRowHeight="15" customHeight="1"/>
  <cols>
    <col min="1" max="6" width="12.6640625" customWidth="1"/>
  </cols>
  <sheetData>
    <row r="1" spans="1:16" ht="15.75" customHeight="1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zoomScale="85" zoomScaleNormal="85" workbookViewId="0"/>
  </sheetViews>
  <sheetFormatPr defaultRowHeight="13.2"/>
  <cols>
    <col min="1" max="1" width="13.109375" customWidth="1"/>
    <col min="2" max="2" width="34.5546875" customWidth="1"/>
    <col min="3" max="3" width="14.109375" customWidth="1"/>
    <col min="4" max="4" width="11.88671875" customWidth="1"/>
    <col min="5" max="5" width="16.21875" customWidth="1"/>
    <col min="7" max="7" width="12.6640625" customWidth="1"/>
    <col min="8" max="8" width="21.33203125" customWidth="1"/>
    <col min="12" max="12" width="28.5546875" customWidth="1"/>
  </cols>
  <sheetData>
    <row r="1" spans="1:12" ht="13.8" thickBot="1">
      <c r="A1" s="37" t="s">
        <v>19</v>
      </c>
      <c r="B1" s="9" t="s">
        <v>20</v>
      </c>
      <c r="C1" s="9" t="s">
        <v>21</v>
      </c>
      <c r="D1" s="9" t="s">
        <v>22</v>
      </c>
      <c r="E1" s="9" t="s">
        <v>145</v>
      </c>
      <c r="F1" s="9" t="s">
        <v>23</v>
      </c>
      <c r="G1" s="9" t="s">
        <v>24</v>
      </c>
      <c r="H1" s="9" t="s">
        <v>146</v>
      </c>
      <c r="L1" s="32"/>
    </row>
    <row r="2" spans="1:12" ht="13.8" thickTop="1">
      <c r="A2" s="10" t="s">
        <v>25</v>
      </c>
      <c r="B2" s="10" t="s">
        <v>26</v>
      </c>
      <c r="C2" s="10" t="s">
        <v>27</v>
      </c>
      <c r="D2" s="10">
        <v>1000</v>
      </c>
      <c r="E2" s="33">
        <f>IF(ISBLANK(D2),MEDIAN($D$2:$D$35),D2)</f>
        <v>1000</v>
      </c>
      <c r="F2" s="10">
        <v>30</v>
      </c>
      <c r="G2" s="10" t="s">
        <v>28</v>
      </c>
      <c r="H2" s="10" t="str">
        <f>IF(ISBLANK(G2),"Unknown",G2)</f>
        <v>Electronics</v>
      </c>
      <c r="L2" s="32"/>
    </row>
    <row r="3" spans="1:12">
      <c r="A3" s="11" t="s">
        <v>29</v>
      </c>
      <c r="B3" s="11" t="s">
        <v>30</v>
      </c>
      <c r="C3" s="11" t="s">
        <v>31</v>
      </c>
      <c r="D3" s="11">
        <v>80</v>
      </c>
      <c r="E3" s="33">
        <f t="shared" ref="E3:E35" si="0">IF(ISBLANK(D3),MEDIAN($D$2:$D$35),D3)</f>
        <v>80</v>
      </c>
      <c r="F3" s="11">
        <v>15</v>
      </c>
      <c r="G3" s="11" t="s">
        <v>32</v>
      </c>
      <c r="H3" s="10" t="str">
        <f t="shared" ref="H3:H35" si="1">IF(ISBLANK(G3),"Unknown",G3)</f>
        <v>Fashion</v>
      </c>
      <c r="L3" s="32"/>
    </row>
    <row r="4" spans="1:12">
      <c r="A4" s="10" t="s">
        <v>33</v>
      </c>
      <c r="B4" s="10" t="s">
        <v>34</v>
      </c>
      <c r="C4" s="10" t="s">
        <v>35</v>
      </c>
      <c r="D4" s="10">
        <v>130</v>
      </c>
      <c r="E4" s="33">
        <f t="shared" si="0"/>
        <v>130</v>
      </c>
      <c r="F4" s="10">
        <v>40</v>
      </c>
      <c r="G4" s="10" t="s">
        <v>36</v>
      </c>
      <c r="H4" s="10" t="str">
        <f t="shared" si="1"/>
        <v>Kitchen</v>
      </c>
      <c r="L4" s="32"/>
    </row>
    <row r="5" spans="1:12">
      <c r="A5" s="11" t="s">
        <v>37</v>
      </c>
      <c r="B5" s="11" t="s">
        <v>38</v>
      </c>
      <c r="C5" s="11" t="s">
        <v>39</v>
      </c>
      <c r="D5" s="11">
        <v>900</v>
      </c>
      <c r="E5" s="33">
        <f t="shared" si="0"/>
        <v>900</v>
      </c>
      <c r="F5" s="11">
        <v>25</v>
      </c>
      <c r="G5" s="11" t="s">
        <v>28</v>
      </c>
      <c r="H5" s="10" t="str">
        <f t="shared" si="1"/>
        <v>Electronics</v>
      </c>
      <c r="L5" s="32"/>
    </row>
    <row r="6" spans="1:12">
      <c r="A6" s="10" t="s">
        <v>40</v>
      </c>
      <c r="B6" s="10" t="s">
        <v>41</v>
      </c>
      <c r="C6" s="10" t="s">
        <v>42</v>
      </c>
      <c r="D6" s="10">
        <v>70</v>
      </c>
      <c r="E6" s="33">
        <f t="shared" si="0"/>
        <v>70</v>
      </c>
      <c r="F6" s="10">
        <v>20</v>
      </c>
      <c r="G6" s="11" t="s">
        <v>132</v>
      </c>
      <c r="H6" s="10" t="str">
        <f t="shared" si="1"/>
        <v xml:space="preserve">Unknown </v>
      </c>
      <c r="L6" s="32"/>
    </row>
    <row r="7" spans="1:12">
      <c r="A7" s="11" t="s">
        <v>43</v>
      </c>
      <c r="B7" s="11" t="s">
        <v>44</v>
      </c>
      <c r="C7" s="11" t="s">
        <v>45</v>
      </c>
      <c r="E7" s="33">
        <f t="shared" si="0"/>
        <v>130</v>
      </c>
      <c r="F7" s="11">
        <v>45</v>
      </c>
      <c r="G7" s="11" t="s">
        <v>46</v>
      </c>
      <c r="H7" s="10" t="str">
        <f t="shared" si="1"/>
        <v>Electroni</v>
      </c>
      <c r="L7" s="32"/>
    </row>
    <row r="8" spans="1:12">
      <c r="A8" s="10" t="s">
        <v>47</v>
      </c>
      <c r="B8" s="10" t="s">
        <v>48</v>
      </c>
      <c r="C8" s="10" t="s">
        <v>49</v>
      </c>
      <c r="D8" s="10">
        <v>30</v>
      </c>
      <c r="E8" s="33">
        <f t="shared" si="0"/>
        <v>30</v>
      </c>
      <c r="F8" s="10">
        <v>5</v>
      </c>
      <c r="G8" s="10" t="s">
        <v>32</v>
      </c>
      <c r="H8" s="10" t="str">
        <f t="shared" si="1"/>
        <v>Fashion</v>
      </c>
      <c r="L8" s="32"/>
    </row>
    <row r="9" spans="1:12">
      <c r="A9" s="11" t="s">
        <v>50</v>
      </c>
      <c r="B9" s="11" t="s">
        <v>51</v>
      </c>
      <c r="C9" s="11" t="s">
        <v>52</v>
      </c>
      <c r="D9" s="11">
        <v>90</v>
      </c>
      <c r="E9" s="33">
        <f t="shared" si="0"/>
        <v>90</v>
      </c>
      <c r="F9" s="11">
        <v>35</v>
      </c>
      <c r="G9" s="11" t="s">
        <v>36</v>
      </c>
      <c r="H9" s="10" t="str">
        <f t="shared" si="1"/>
        <v>Kitchen</v>
      </c>
      <c r="L9" s="32"/>
    </row>
    <row r="10" spans="1:12">
      <c r="A10" s="10" t="s">
        <v>53</v>
      </c>
      <c r="B10" s="10" t="s">
        <v>54</v>
      </c>
      <c r="C10" s="10" t="s">
        <v>55</v>
      </c>
      <c r="D10" s="10">
        <v>500</v>
      </c>
      <c r="E10" s="33">
        <f t="shared" si="0"/>
        <v>500</v>
      </c>
      <c r="F10" s="10">
        <v>50</v>
      </c>
      <c r="G10" s="10" t="s">
        <v>28</v>
      </c>
      <c r="H10" s="10" t="str">
        <f t="shared" si="1"/>
        <v>Electronics</v>
      </c>
      <c r="L10" s="32"/>
    </row>
    <row r="11" spans="1:12">
      <c r="A11" s="11" t="s">
        <v>56</v>
      </c>
      <c r="B11" s="11" t="s">
        <v>57</v>
      </c>
      <c r="C11" s="11" t="s">
        <v>58</v>
      </c>
      <c r="D11" s="11">
        <v>130</v>
      </c>
      <c r="E11" s="33">
        <f t="shared" si="0"/>
        <v>130</v>
      </c>
      <c r="F11" s="11">
        <v>10</v>
      </c>
      <c r="G11" s="11" t="s">
        <v>59</v>
      </c>
      <c r="H11" s="10" t="str">
        <f t="shared" si="1"/>
        <v>Outdoor</v>
      </c>
      <c r="L11" s="32"/>
    </row>
    <row r="12" spans="1:12">
      <c r="A12" s="10" t="s">
        <v>60</v>
      </c>
      <c r="B12" s="10" t="s">
        <v>61</v>
      </c>
      <c r="C12" s="10" t="s">
        <v>62</v>
      </c>
      <c r="D12" s="10">
        <v>950</v>
      </c>
      <c r="E12" s="33">
        <f t="shared" si="0"/>
        <v>950</v>
      </c>
      <c r="F12" s="10">
        <v>25</v>
      </c>
      <c r="G12" s="10" t="s">
        <v>28</v>
      </c>
      <c r="H12" s="10" t="str">
        <f t="shared" si="1"/>
        <v>Electronics</v>
      </c>
    </row>
    <row r="13" spans="1:12">
      <c r="A13" s="11" t="s">
        <v>63</v>
      </c>
      <c r="B13" s="11" t="s">
        <v>30</v>
      </c>
      <c r="C13" s="11" t="s">
        <v>49</v>
      </c>
      <c r="D13" s="11">
        <v>90</v>
      </c>
      <c r="E13" s="33">
        <f t="shared" si="0"/>
        <v>90</v>
      </c>
      <c r="F13" s="11">
        <v>40</v>
      </c>
      <c r="G13" s="10" t="s">
        <v>132</v>
      </c>
      <c r="H13" s="10" t="str">
        <f t="shared" si="1"/>
        <v xml:space="preserve">Unknown </v>
      </c>
    </row>
    <row r="14" spans="1:12">
      <c r="A14" s="10" t="s">
        <v>64</v>
      </c>
      <c r="B14" s="10" t="s">
        <v>34</v>
      </c>
      <c r="C14" s="10" t="s">
        <v>65</v>
      </c>
      <c r="D14" s="10">
        <v>120</v>
      </c>
      <c r="E14" s="33">
        <f t="shared" si="0"/>
        <v>120</v>
      </c>
      <c r="F14" s="10">
        <v>35</v>
      </c>
      <c r="G14" s="10" t="s">
        <v>132</v>
      </c>
      <c r="H14" s="10" t="str">
        <f t="shared" si="1"/>
        <v xml:space="preserve">Unknown </v>
      </c>
    </row>
    <row r="15" spans="1:12">
      <c r="A15" s="11" t="s">
        <v>66</v>
      </c>
      <c r="B15" s="11" t="s">
        <v>67</v>
      </c>
      <c r="C15" s="11" t="s">
        <v>68</v>
      </c>
      <c r="D15" s="11">
        <v>150</v>
      </c>
      <c r="E15" s="33">
        <f t="shared" si="0"/>
        <v>150</v>
      </c>
      <c r="F15" s="11">
        <v>15</v>
      </c>
      <c r="G15" s="11" t="s">
        <v>46</v>
      </c>
      <c r="H15" s="10" t="str">
        <f t="shared" si="1"/>
        <v>Electroni</v>
      </c>
    </row>
    <row r="16" spans="1:12">
      <c r="A16" s="10" t="s">
        <v>69</v>
      </c>
      <c r="B16" s="10" t="s">
        <v>70</v>
      </c>
      <c r="C16" s="10" t="s">
        <v>71</v>
      </c>
      <c r="D16" s="10">
        <v>250</v>
      </c>
      <c r="E16" s="33">
        <f t="shared" si="0"/>
        <v>250</v>
      </c>
      <c r="F16" s="10">
        <v>20</v>
      </c>
      <c r="G16" s="10" t="s">
        <v>46</v>
      </c>
      <c r="H16" s="10" t="str">
        <f t="shared" si="1"/>
        <v>Electroni</v>
      </c>
    </row>
    <row r="17" spans="1:8">
      <c r="A17" s="11" t="s">
        <v>72</v>
      </c>
      <c r="B17" s="11" t="s">
        <v>73</v>
      </c>
      <c r="C17" s="11" t="s">
        <v>74</v>
      </c>
      <c r="D17" s="11">
        <v>50</v>
      </c>
      <c r="E17" s="33">
        <f t="shared" si="0"/>
        <v>50</v>
      </c>
      <c r="F17" s="11">
        <v>35</v>
      </c>
      <c r="G17" s="11" t="s">
        <v>75</v>
      </c>
      <c r="H17" s="10" t="str">
        <f t="shared" si="1"/>
        <v>Accessories</v>
      </c>
    </row>
    <row r="18" spans="1:8">
      <c r="A18" s="10" t="s">
        <v>76</v>
      </c>
      <c r="B18" s="10" t="s">
        <v>67</v>
      </c>
      <c r="C18" s="10" t="s">
        <v>77</v>
      </c>
      <c r="D18" s="10">
        <v>160</v>
      </c>
      <c r="E18" s="33">
        <f t="shared" si="0"/>
        <v>160</v>
      </c>
      <c r="F18" s="10">
        <v>15</v>
      </c>
      <c r="G18" s="10" t="s">
        <v>46</v>
      </c>
      <c r="H18" s="10" t="str">
        <f t="shared" si="1"/>
        <v>Electroni</v>
      </c>
    </row>
    <row r="19" spans="1:8">
      <c r="A19" s="11" t="s">
        <v>78</v>
      </c>
      <c r="B19" s="11" t="s">
        <v>26</v>
      </c>
      <c r="C19" s="11" t="s">
        <v>79</v>
      </c>
      <c r="D19" s="11">
        <v>980</v>
      </c>
      <c r="E19" s="33">
        <f t="shared" si="0"/>
        <v>980</v>
      </c>
      <c r="F19" s="11">
        <v>10</v>
      </c>
      <c r="G19" s="11" t="s">
        <v>28</v>
      </c>
      <c r="H19" s="10" t="str">
        <f t="shared" si="1"/>
        <v>Electronics</v>
      </c>
    </row>
    <row r="20" spans="1:8">
      <c r="A20" s="10" t="s">
        <v>80</v>
      </c>
      <c r="B20" s="10" t="s">
        <v>81</v>
      </c>
      <c r="C20" s="10" t="s">
        <v>82</v>
      </c>
      <c r="D20" s="10">
        <v>150</v>
      </c>
      <c r="E20" s="33">
        <f t="shared" si="0"/>
        <v>150</v>
      </c>
      <c r="F20" s="10">
        <v>15</v>
      </c>
      <c r="G20" s="10" t="s">
        <v>32</v>
      </c>
      <c r="H20" s="10" t="str">
        <f t="shared" si="1"/>
        <v>Fashion</v>
      </c>
    </row>
    <row r="21" spans="1:8">
      <c r="A21" s="11" t="s">
        <v>83</v>
      </c>
      <c r="B21" s="11" t="s">
        <v>84</v>
      </c>
      <c r="C21" s="11" t="s">
        <v>85</v>
      </c>
      <c r="D21" s="11"/>
      <c r="E21" s="33">
        <f t="shared" si="0"/>
        <v>130</v>
      </c>
      <c r="F21" s="11">
        <v>10</v>
      </c>
      <c r="G21" s="11" t="s">
        <v>59</v>
      </c>
      <c r="H21" s="10" t="str">
        <f t="shared" si="1"/>
        <v>Outdoor</v>
      </c>
    </row>
    <row r="22" spans="1:8">
      <c r="A22" s="10" t="s">
        <v>86</v>
      </c>
      <c r="B22" s="10" t="s">
        <v>87</v>
      </c>
      <c r="C22" s="10" t="s">
        <v>88</v>
      </c>
      <c r="D22" s="10">
        <v>700</v>
      </c>
      <c r="E22" s="33">
        <f t="shared" si="0"/>
        <v>700</v>
      </c>
      <c r="F22" s="10">
        <v>50</v>
      </c>
      <c r="G22" s="10" t="s">
        <v>28</v>
      </c>
      <c r="H22" s="10" t="str">
        <f t="shared" si="1"/>
        <v>Electronics</v>
      </c>
    </row>
    <row r="23" spans="1:8">
      <c r="A23" s="11" t="s">
        <v>89</v>
      </c>
      <c r="B23" s="11" t="s">
        <v>90</v>
      </c>
      <c r="C23" s="11" t="s">
        <v>91</v>
      </c>
      <c r="D23" s="11">
        <v>80</v>
      </c>
      <c r="E23" s="33">
        <f t="shared" si="0"/>
        <v>80</v>
      </c>
      <c r="F23" s="11">
        <v>20</v>
      </c>
      <c r="G23" s="11" t="s">
        <v>36</v>
      </c>
      <c r="H23" s="10" t="str">
        <f t="shared" si="1"/>
        <v>Kitchen</v>
      </c>
    </row>
    <row r="24" spans="1:8">
      <c r="A24" s="10" t="s">
        <v>92</v>
      </c>
      <c r="B24" s="10" t="s">
        <v>93</v>
      </c>
      <c r="C24" s="10" t="s">
        <v>94</v>
      </c>
      <c r="D24" s="10">
        <v>150</v>
      </c>
      <c r="E24" s="33">
        <f t="shared" si="0"/>
        <v>150</v>
      </c>
      <c r="F24" s="10">
        <v>30</v>
      </c>
      <c r="G24" s="10" t="s">
        <v>132</v>
      </c>
      <c r="H24" s="10" t="str">
        <f t="shared" si="1"/>
        <v xml:space="preserve">Unknown </v>
      </c>
    </row>
    <row r="25" spans="1:8">
      <c r="A25" s="11" t="s">
        <v>72</v>
      </c>
      <c r="B25" s="11" t="s">
        <v>73</v>
      </c>
      <c r="C25" s="11" t="s">
        <v>74</v>
      </c>
      <c r="D25" s="11">
        <v>50</v>
      </c>
      <c r="E25" s="33">
        <f t="shared" si="0"/>
        <v>50</v>
      </c>
      <c r="F25" s="11">
        <v>35</v>
      </c>
      <c r="G25" s="11" t="s">
        <v>75</v>
      </c>
      <c r="H25" s="10" t="str">
        <f t="shared" si="1"/>
        <v>Accessories</v>
      </c>
    </row>
    <row r="26" spans="1:8">
      <c r="A26" s="10" t="s">
        <v>95</v>
      </c>
      <c r="B26" s="10" t="s">
        <v>96</v>
      </c>
      <c r="C26" s="10" t="s">
        <v>97</v>
      </c>
      <c r="D26" s="10">
        <v>800</v>
      </c>
      <c r="E26" s="33">
        <f t="shared" si="0"/>
        <v>800</v>
      </c>
      <c r="F26" s="10">
        <v>45</v>
      </c>
      <c r="G26" s="10" t="s">
        <v>28</v>
      </c>
      <c r="H26" s="10" t="str">
        <f t="shared" si="1"/>
        <v>Electronics</v>
      </c>
    </row>
    <row r="27" spans="1:8">
      <c r="A27" s="11" t="s">
        <v>98</v>
      </c>
      <c r="B27" s="11" t="s">
        <v>81</v>
      </c>
      <c r="C27" s="11" t="s">
        <v>99</v>
      </c>
      <c r="D27" s="11"/>
      <c r="E27" s="33">
        <f t="shared" si="0"/>
        <v>130</v>
      </c>
      <c r="F27" s="11">
        <v>25</v>
      </c>
      <c r="G27" s="11" t="s">
        <v>32</v>
      </c>
      <c r="H27" s="10" t="str">
        <f t="shared" si="1"/>
        <v>Fashion</v>
      </c>
    </row>
    <row r="28" spans="1:8">
      <c r="A28" s="10" t="s">
        <v>100</v>
      </c>
      <c r="B28" s="10" t="s">
        <v>51</v>
      </c>
      <c r="C28" s="10" t="s">
        <v>101</v>
      </c>
      <c r="D28" s="10">
        <v>400</v>
      </c>
      <c r="E28" s="33">
        <f t="shared" si="0"/>
        <v>400</v>
      </c>
      <c r="F28" s="10">
        <v>40</v>
      </c>
      <c r="G28" s="10" t="s">
        <v>36</v>
      </c>
      <c r="H28" s="10" t="str">
        <f t="shared" si="1"/>
        <v>Kitchen</v>
      </c>
    </row>
    <row r="29" spans="1:8">
      <c r="A29" s="11" t="s">
        <v>69</v>
      </c>
      <c r="B29" s="11" t="s">
        <v>70</v>
      </c>
      <c r="C29" s="11" t="s">
        <v>71</v>
      </c>
      <c r="D29" s="11">
        <v>250</v>
      </c>
      <c r="E29" s="33">
        <f t="shared" si="0"/>
        <v>250</v>
      </c>
      <c r="F29" s="11">
        <v>20</v>
      </c>
      <c r="G29" s="11" t="s">
        <v>46</v>
      </c>
      <c r="H29" s="10" t="str">
        <f t="shared" si="1"/>
        <v>Electroni</v>
      </c>
    </row>
    <row r="30" spans="1:8">
      <c r="A30" s="10" t="s">
        <v>102</v>
      </c>
      <c r="B30" s="10" t="s">
        <v>103</v>
      </c>
      <c r="C30" s="10" t="s">
        <v>104</v>
      </c>
      <c r="D30" s="10">
        <v>60</v>
      </c>
      <c r="E30" s="33">
        <f t="shared" si="0"/>
        <v>60</v>
      </c>
      <c r="F30" s="10">
        <v>30</v>
      </c>
      <c r="G30" s="10" t="s">
        <v>32</v>
      </c>
      <c r="H30" s="10" t="str">
        <f t="shared" si="1"/>
        <v>Fashion</v>
      </c>
    </row>
    <row r="31" spans="1:8">
      <c r="A31" s="11" t="s">
        <v>105</v>
      </c>
      <c r="B31" s="11" t="s">
        <v>106</v>
      </c>
      <c r="C31" s="11" t="s">
        <v>107</v>
      </c>
      <c r="D31" s="11">
        <v>40</v>
      </c>
      <c r="E31" s="33">
        <f t="shared" si="0"/>
        <v>40</v>
      </c>
      <c r="F31" s="11">
        <v>10</v>
      </c>
      <c r="G31" s="11" t="s">
        <v>36</v>
      </c>
      <c r="H31" s="10" t="str">
        <f t="shared" si="1"/>
        <v>Kitchen</v>
      </c>
    </row>
    <row r="32" spans="1:8">
      <c r="A32" s="10" t="s">
        <v>108</v>
      </c>
      <c r="B32" s="10" t="s">
        <v>93</v>
      </c>
      <c r="C32" s="10" t="s">
        <v>109</v>
      </c>
      <c r="D32" s="10">
        <v>130</v>
      </c>
      <c r="E32" s="33">
        <f t="shared" si="0"/>
        <v>130</v>
      </c>
      <c r="F32" s="10">
        <v>5</v>
      </c>
      <c r="G32" s="10" t="s">
        <v>28</v>
      </c>
      <c r="H32" s="10" t="str">
        <f t="shared" si="1"/>
        <v>Electronics</v>
      </c>
    </row>
    <row r="33" spans="1:9">
      <c r="A33" s="11" t="s">
        <v>110</v>
      </c>
      <c r="B33" s="11" t="s">
        <v>111</v>
      </c>
      <c r="C33" s="11" t="s">
        <v>112</v>
      </c>
      <c r="D33" s="11">
        <v>50</v>
      </c>
      <c r="E33" s="33">
        <f t="shared" si="0"/>
        <v>50</v>
      </c>
      <c r="F33" s="11">
        <v>50</v>
      </c>
      <c r="G33" s="11" t="s">
        <v>32</v>
      </c>
      <c r="H33" s="10" t="str">
        <f t="shared" si="1"/>
        <v>Fashion</v>
      </c>
    </row>
    <row r="34" spans="1:9">
      <c r="A34" s="10" t="s">
        <v>60</v>
      </c>
      <c r="B34" s="10" t="s">
        <v>61</v>
      </c>
      <c r="C34" s="10" t="s">
        <v>62</v>
      </c>
      <c r="D34" s="10">
        <v>950</v>
      </c>
      <c r="E34" s="33">
        <f t="shared" si="0"/>
        <v>950</v>
      </c>
      <c r="F34" s="10">
        <v>25</v>
      </c>
      <c r="G34" s="10" t="s">
        <v>28</v>
      </c>
      <c r="H34" s="10" t="str">
        <f t="shared" si="1"/>
        <v>Electronics</v>
      </c>
    </row>
    <row r="35" spans="1:9">
      <c r="A35" s="11" t="s">
        <v>113</v>
      </c>
      <c r="B35" s="11" t="s">
        <v>114</v>
      </c>
      <c r="C35" s="11" t="s">
        <v>115</v>
      </c>
      <c r="D35" s="11">
        <v>100</v>
      </c>
      <c r="E35" s="33">
        <f t="shared" si="0"/>
        <v>100</v>
      </c>
      <c r="F35" s="11">
        <v>20</v>
      </c>
      <c r="G35" s="11" t="s">
        <v>75</v>
      </c>
      <c r="H35" s="10" t="str">
        <f t="shared" si="1"/>
        <v>Accessories</v>
      </c>
    </row>
    <row r="40" spans="1:9">
      <c r="B40" s="26" t="s">
        <v>131</v>
      </c>
    </row>
    <row r="42" spans="1:9" ht="26.4">
      <c r="B42" s="34" t="s">
        <v>140</v>
      </c>
      <c r="C42" s="35"/>
      <c r="D42" s="35"/>
    </row>
    <row r="43" spans="1:9" ht="26.4">
      <c r="B43" s="34" t="s">
        <v>141</v>
      </c>
      <c r="C43" s="35"/>
      <c r="D43" s="35"/>
    </row>
    <row r="44" spans="1:9">
      <c r="B44" s="34" t="s">
        <v>142</v>
      </c>
      <c r="C44" s="35"/>
      <c r="D44" s="35"/>
    </row>
    <row r="45" spans="1:9">
      <c r="B45" s="34"/>
      <c r="C45" s="35"/>
      <c r="D45" s="35"/>
    </row>
    <row r="46" spans="1:9" ht="52.8" customHeight="1">
      <c r="B46" s="34" t="s">
        <v>143</v>
      </c>
      <c r="C46" s="35"/>
      <c r="D46" s="35"/>
      <c r="E46" s="32"/>
      <c r="F46" s="32"/>
      <c r="G46" s="32"/>
      <c r="H46" s="32"/>
      <c r="I46" s="32"/>
    </row>
    <row r="47" spans="1:9" ht="26.4">
      <c r="B47" s="34" t="s">
        <v>144</v>
      </c>
      <c r="C47" s="35"/>
      <c r="D47" s="35"/>
    </row>
    <row r="48" spans="1:9">
      <c r="B48" s="34" t="s">
        <v>147</v>
      </c>
      <c r="C48" s="35"/>
      <c r="D48" s="35"/>
    </row>
    <row r="49" spans="2:8">
      <c r="B49" s="25"/>
      <c r="C49" s="25"/>
      <c r="D49" s="25"/>
      <c r="E49" s="25"/>
      <c r="F49" s="25"/>
      <c r="G49" s="25"/>
      <c r="H49" s="25"/>
    </row>
    <row r="50" spans="2:8">
      <c r="B50" s="32"/>
    </row>
    <row r="51" spans="2:8">
      <c r="B51" s="32"/>
    </row>
    <row r="52" spans="2:8">
      <c r="B52" s="32"/>
    </row>
    <row r="53" spans="2:8">
      <c r="B53" s="32"/>
    </row>
    <row r="54" spans="2:8">
      <c r="B54" s="3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zoomScale="85" zoomScaleNormal="85" workbookViewId="0"/>
  </sheetViews>
  <sheetFormatPr defaultRowHeight="13.2"/>
  <cols>
    <col min="1" max="1" width="12.6640625" customWidth="1"/>
    <col min="2" max="2" width="24.21875" customWidth="1"/>
    <col min="3" max="3" width="21.21875" customWidth="1"/>
    <col min="4" max="4" width="10.6640625" bestFit="1" customWidth="1"/>
    <col min="5" max="5" width="10.77734375" bestFit="1" customWidth="1"/>
    <col min="6" max="6" width="14.109375" customWidth="1"/>
  </cols>
  <sheetData>
    <row r="1" spans="1:6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6">
      <c r="A2" s="10" t="s">
        <v>25</v>
      </c>
      <c r="B2" s="10" t="s">
        <v>61</v>
      </c>
      <c r="C2" s="10" t="s">
        <v>27</v>
      </c>
      <c r="D2" s="10">
        <v>1000</v>
      </c>
      <c r="E2" s="10">
        <v>30</v>
      </c>
      <c r="F2" s="11" t="s">
        <v>28</v>
      </c>
    </row>
    <row r="3" spans="1:6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</row>
    <row r="4" spans="1:6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</row>
    <row r="5" spans="1:6">
      <c r="A5" s="11" t="s">
        <v>37</v>
      </c>
      <c r="B5" s="11" t="s">
        <v>96</v>
      </c>
      <c r="C5" s="11" t="s">
        <v>39</v>
      </c>
      <c r="D5" s="11">
        <v>900</v>
      </c>
      <c r="E5" s="11">
        <v>25</v>
      </c>
      <c r="F5" s="11" t="s">
        <v>28</v>
      </c>
    </row>
    <row r="6" spans="1:6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1" t="s">
        <v>75</v>
      </c>
    </row>
    <row r="7" spans="1:6">
      <c r="A7" s="11" t="s">
        <v>43</v>
      </c>
      <c r="B7" s="11" t="s">
        <v>44</v>
      </c>
      <c r="C7" s="11" t="s">
        <v>45</v>
      </c>
      <c r="D7" s="11">
        <v>130</v>
      </c>
      <c r="E7" s="11">
        <v>45</v>
      </c>
      <c r="F7" s="11" t="s">
        <v>28</v>
      </c>
    </row>
    <row r="8" spans="1:6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6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6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6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6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6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0" t="s">
        <v>32</v>
      </c>
    </row>
    <row r="14" spans="1:6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 t="s">
        <v>36</v>
      </c>
    </row>
    <row r="15" spans="1:6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28</v>
      </c>
    </row>
    <row r="16" spans="1:6">
      <c r="A16" s="10" t="s">
        <v>69</v>
      </c>
      <c r="B16" s="10" t="s">
        <v>44</v>
      </c>
      <c r="C16" s="10" t="s">
        <v>71</v>
      </c>
      <c r="D16" s="10">
        <v>250</v>
      </c>
      <c r="E16" s="10">
        <v>20</v>
      </c>
      <c r="F16" s="10" t="s">
        <v>28</v>
      </c>
    </row>
    <row r="17" spans="1:6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28</v>
      </c>
    </row>
    <row r="19" spans="1:6">
      <c r="A19" s="11" t="s">
        <v>78</v>
      </c>
      <c r="B19" s="11" t="s">
        <v>61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>
      <c r="A21" s="11" t="s">
        <v>83</v>
      </c>
      <c r="B21" s="11" t="s">
        <v>84</v>
      </c>
      <c r="C21" s="11" t="s">
        <v>85</v>
      </c>
      <c r="D21" s="11">
        <v>130</v>
      </c>
      <c r="E21" s="11">
        <v>10</v>
      </c>
      <c r="F21" s="11" t="s">
        <v>59</v>
      </c>
    </row>
    <row r="22" spans="1:6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 t="s">
        <v>28</v>
      </c>
    </row>
    <row r="25" spans="1:6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>
      <c r="A27" s="11" t="s">
        <v>98</v>
      </c>
      <c r="B27" s="11" t="s">
        <v>81</v>
      </c>
      <c r="C27" s="11" t="s">
        <v>99</v>
      </c>
      <c r="D27" s="11">
        <v>130</v>
      </c>
      <c r="E27" s="11">
        <v>25</v>
      </c>
      <c r="F27" s="11" t="s">
        <v>32</v>
      </c>
    </row>
    <row r="28" spans="1:6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>
      <c r="A29" s="11" t="s">
        <v>69</v>
      </c>
      <c r="B29" s="11" t="s">
        <v>44</v>
      </c>
      <c r="C29" s="11" t="s">
        <v>71</v>
      </c>
      <c r="D29" s="11">
        <v>250</v>
      </c>
      <c r="E29" s="11">
        <v>20</v>
      </c>
      <c r="F29" s="11" t="s">
        <v>28</v>
      </c>
    </row>
    <row r="30" spans="1:6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8" spans="1:6" s="32" customFormat="1" ht="72.599999999999994" customHeight="1">
      <c r="B38" s="36" t="s">
        <v>139</v>
      </c>
      <c r="C38" s="36"/>
    </row>
  </sheetData>
  <mergeCells count="1">
    <mergeCell ref="B38:C38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opLeftCell="A18" workbookViewId="0">
      <selection activeCell="C46" sqref="C46"/>
    </sheetView>
  </sheetViews>
  <sheetFormatPr defaultRowHeight="13.2"/>
  <cols>
    <col min="1" max="1" width="12.6640625" customWidth="1"/>
    <col min="2" max="2" width="34.5546875" customWidth="1"/>
    <col min="3" max="3" width="14.33203125" customWidth="1"/>
    <col min="4" max="4" width="10.6640625" customWidth="1"/>
    <col min="5" max="5" width="10.77734375" customWidth="1"/>
    <col min="6" max="6" width="13" customWidth="1"/>
  </cols>
  <sheetData>
    <row r="1" spans="1:6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6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6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</row>
    <row r="4" spans="1:6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</row>
    <row r="5" spans="1:6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</row>
    <row r="6" spans="1:6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1" t="s">
        <v>75</v>
      </c>
    </row>
    <row r="7" spans="1:6">
      <c r="A7" s="11" t="s">
        <v>43</v>
      </c>
      <c r="B7" s="11" t="s">
        <v>44</v>
      </c>
      <c r="C7" s="11" t="s">
        <v>45</v>
      </c>
      <c r="D7" s="11">
        <v>130</v>
      </c>
      <c r="E7" s="11">
        <v>45</v>
      </c>
      <c r="F7" s="10" t="s">
        <v>28</v>
      </c>
    </row>
    <row r="8" spans="1:6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6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6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6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6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6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0" t="s">
        <v>32</v>
      </c>
    </row>
    <row r="14" spans="1:6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1" t="s">
        <v>36</v>
      </c>
    </row>
    <row r="15" spans="1:6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0" t="s">
        <v>28</v>
      </c>
    </row>
    <row r="16" spans="1:6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28</v>
      </c>
    </row>
    <row r="17" spans="1:6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28</v>
      </c>
    </row>
    <row r="19" spans="1:6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>
      <c r="A21" s="11" t="s">
        <v>83</v>
      </c>
      <c r="B21" s="11" t="s">
        <v>84</v>
      </c>
      <c r="C21" s="11" t="s">
        <v>85</v>
      </c>
      <c r="D21" s="11">
        <v>130</v>
      </c>
      <c r="E21" s="11">
        <v>10</v>
      </c>
      <c r="F21" s="11" t="s">
        <v>59</v>
      </c>
    </row>
    <row r="22" spans="1:6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 t="s">
        <v>28</v>
      </c>
    </row>
    <row r="25" spans="1:6">
      <c r="A25" s="10" t="s">
        <v>95</v>
      </c>
      <c r="B25" s="10" t="s">
        <v>96</v>
      </c>
      <c r="C25" s="10" t="s">
        <v>97</v>
      </c>
      <c r="D25" s="10">
        <v>800</v>
      </c>
      <c r="E25" s="10">
        <v>45</v>
      </c>
      <c r="F25" s="10" t="s">
        <v>28</v>
      </c>
    </row>
    <row r="26" spans="1:6">
      <c r="A26" s="11" t="s">
        <v>98</v>
      </c>
      <c r="B26" s="11" t="s">
        <v>81</v>
      </c>
      <c r="C26" s="11" t="s">
        <v>99</v>
      </c>
      <c r="D26" s="11">
        <v>130</v>
      </c>
      <c r="E26" s="11">
        <v>25</v>
      </c>
      <c r="F26" s="11" t="s">
        <v>32</v>
      </c>
    </row>
    <row r="27" spans="1:6">
      <c r="A27" s="10" t="s">
        <v>100</v>
      </c>
      <c r="B27" s="10" t="s">
        <v>51</v>
      </c>
      <c r="C27" s="10" t="s">
        <v>101</v>
      </c>
      <c r="D27" s="10">
        <v>400</v>
      </c>
      <c r="E27" s="10">
        <v>40</v>
      </c>
      <c r="F27" s="10" t="s">
        <v>36</v>
      </c>
    </row>
    <row r="28" spans="1:6">
      <c r="A28" s="10" t="s">
        <v>102</v>
      </c>
      <c r="B28" s="10" t="s">
        <v>103</v>
      </c>
      <c r="C28" s="10" t="s">
        <v>104</v>
      </c>
      <c r="D28" s="10">
        <v>60</v>
      </c>
      <c r="E28" s="10">
        <v>30</v>
      </c>
      <c r="F28" s="10" t="s">
        <v>32</v>
      </c>
    </row>
    <row r="29" spans="1:6">
      <c r="A29" s="11" t="s">
        <v>105</v>
      </c>
      <c r="B29" s="11" t="s">
        <v>106</v>
      </c>
      <c r="C29" s="11" t="s">
        <v>107</v>
      </c>
      <c r="D29" s="11">
        <v>40</v>
      </c>
      <c r="E29" s="11">
        <v>10</v>
      </c>
      <c r="F29" s="11" t="s">
        <v>36</v>
      </c>
    </row>
    <row r="30" spans="1:6">
      <c r="A30" s="10" t="s">
        <v>108</v>
      </c>
      <c r="B30" s="10" t="s">
        <v>93</v>
      </c>
      <c r="C30" s="10" t="s">
        <v>109</v>
      </c>
      <c r="D30" s="10">
        <v>130</v>
      </c>
      <c r="E30" s="10">
        <v>5</v>
      </c>
      <c r="F30" s="10" t="s">
        <v>28</v>
      </c>
    </row>
    <row r="31" spans="1:6">
      <c r="A31" s="11" t="s">
        <v>110</v>
      </c>
      <c r="B31" s="11" t="s">
        <v>111</v>
      </c>
      <c r="C31" s="11" t="s">
        <v>112</v>
      </c>
      <c r="D31" s="11">
        <v>50</v>
      </c>
      <c r="E31" s="11">
        <v>50</v>
      </c>
      <c r="F31" s="11" t="s">
        <v>32</v>
      </c>
    </row>
    <row r="32" spans="1:6">
      <c r="A32" s="11" t="s">
        <v>113</v>
      </c>
      <c r="B32" s="11" t="s">
        <v>114</v>
      </c>
      <c r="C32" s="11" t="s">
        <v>115</v>
      </c>
      <c r="D32" s="11">
        <v>100</v>
      </c>
      <c r="E32" s="11">
        <v>20</v>
      </c>
      <c r="F32" s="11" t="s">
        <v>75</v>
      </c>
    </row>
    <row r="35" spans="2:2" ht="66">
      <c r="B35" s="29" t="s">
        <v>136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opLeftCell="A30" workbookViewId="0">
      <selection activeCell="B41" sqref="B41"/>
    </sheetView>
  </sheetViews>
  <sheetFormatPr defaultColWidth="8.88671875" defaultRowHeight="13.2"/>
  <cols>
    <col min="1" max="1" width="20.44140625" style="12" customWidth="1"/>
    <col min="2" max="2" width="35.5546875" style="12" customWidth="1"/>
    <col min="3" max="3" width="15.88671875" style="12" customWidth="1"/>
    <col min="4" max="4" width="14.33203125" style="12" customWidth="1"/>
    <col min="5" max="5" width="20.88671875" style="12" customWidth="1"/>
    <col min="6" max="6" width="10.6640625" style="12" bestFit="1" customWidth="1"/>
    <col min="7" max="7" width="10.77734375" style="12" bestFit="1" customWidth="1"/>
    <col min="8" max="8" width="12.6640625" style="12" customWidth="1"/>
    <col min="9" max="16384" width="8.88671875" style="12"/>
  </cols>
  <sheetData>
    <row r="1" spans="1:8">
      <c r="A1" s="9" t="s">
        <v>129</v>
      </c>
      <c r="B1" s="9" t="s">
        <v>128</v>
      </c>
      <c r="C1" s="9" t="s">
        <v>20</v>
      </c>
      <c r="D1" s="9" t="s">
        <v>21</v>
      </c>
      <c r="E1" s="9" t="s">
        <v>130</v>
      </c>
      <c r="F1" s="9" t="s">
        <v>22</v>
      </c>
      <c r="G1" s="9" t="s">
        <v>23</v>
      </c>
      <c r="H1" s="9" t="s">
        <v>24</v>
      </c>
    </row>
    <row r="2" spans="1:8">
      <c r="A2" s="13">
        <v>46050</v>
      </c>
      <c r="B2" s="14" t="s">
        <v>116</v>
      </c>
      <c r="C2" s="14" t="s">
        <v>26</v>
      </c>
      <c r="D2" s="14" t="s">
        <v>27</v>
      </c>
      <c r="E2" s="14" t="str">
        <f t="shared" ref="E2:E32" si="0">CONCATENATE(C2," ",D2)</f>
        <v>laptop Dell</v>
      </c>
      <c r="F2" s="14">
        <v>1000</v>
      </c>
      <c r="G2" s="14">
        <v>30</v>
      </c>
      <c r="H2" s="10" t="s">
        <v>28</v>
      </c>
    </row>
    <row r="3" spans="1:8">
      <c r="A3" s="15">
        <v>46068</v>
      </c>
      <c r="B3" s="16" t="s">
        <v>116</v>
      </c>
      <c r="C3" s="16" t="s">
        <v>30</v>
      </c>
      <c r="D3" s="16" t="s">
        <v>31</v>
      </c>
      <c r="E3" s="14" t="str">
        <f t="shared" si="0"/>
        <v>Sneakers Nike</v>
      </c>
      <c r="F3" s="16">
        <v>80</v>
      </c>
      <c r="G3" s="16">
        <v>15</v>
      </c>
      <c r="H3" s="11" t="s">
        <v>32</v>
      </c>
    </row>
    <row r="4" spans="1:8">
      <c r="A4" s="13">
        <v>46084</v>
      </c>
      <c r="B4" s="14" t="s">
        <v>116</v>
      </c>
      <c r="C4" s="14" t="s">
        <v>34</v>
      </c>
      <c r="D4" s="14" t="s">
        <v>35</v>
      </c>
      <c r="E4" s="14" t="str">
        <f t="shared" si="0"/>
        <v>Coffee Maker Keurig</v>
      </c>
      <c r="F4" s="14">
        <v>130</v>
      </c>
      <c r="G4" s="14">
        <v>40</v>
      </c>
      <c r="H4" s="10" t="s">
        <v>36</v>
      </c>
    </row>
    <row r="5" spans="1:8">
      <c r="A5" s="15">
        <v>46123</v>
      </c>
      <c r="B5" s="16" t="s">
        <v>116</v>
      </c>
      <c r="C5" s="16" t="s">
        <v>38</v>
      </c>
      <c r="D5" s="16" t="s">
        <v>39</v>
      </c>
      <c r="E5" s="14" t="str">
        <f t="shared" si="0"/>
        <v>smartphone Samsung</v>
      </c>
      <c r="F5" s="16">
        <v>900</v>
      </c>
      <c r="G5" s="16">
        <v>25</v>
      </c>
      <c r="H5" s="11" t="s">
        <v>28</v>
      </c>
    </row>
    <row r="6" spans="1:8">
      <c r="A6" s="13">
        <v>46164</v>
      </c>
      <c r="B6" s="14" t="s">
        <v>116</v>
      </c>
      <c r="C6" s="14" t="s">
        <v>41</v>
      </c>
      <c r="D6" s="14" t="s">
        <v>42</v>
      </c>
      <c r="E6" s="14" t="str">
        <f t="shared" si="0"/>
        <v>Backpack North Face</v>
      </c>
      <c r="F6" s="14">
        <v>70</v>
      </c>
      <c r="G6" s="14">
        <v>20</v>
      </c>
      <c r="H6" s="11" t="s">
        <v>75</v>
      </c>
    </row>
    <row r="7" spans="1:8">
      <c r="A7" s="15">
        <v>46180</v>
      </c>
      <c r="B7" s="16" t="s">
        <v>117</v>
      </c>
      <c r="C7" s="16" t="s">
        <v>44</v>
      </c>
      <c r="D7" s="16" t="s">
        <v>45</v>
      </c>
      <c r="E7" s="14" t="str">
        <f t="shared" si="0"/>
        <v>Headphones Sony</v>
      </c>
      <c r="F7" s="16">
        <v>130</v>
      </c>
      <c r="G7" s="16">
        <v>45</v>
      </c>
      <c r="H7" s="10" t="s">
        <v>28</v>
      </c>
    </row>
    <row r="8" spans="1:8">
      <c r="A8" s="13">
        <v>46222</v>
      </c>
      <c r="B8" s="14" t="s">
        <v>117</v>
      </c>
      <c r="C8" s="14" t="s">
        <v>48</v>
      </c>
      <c r="D8" s="14" t="s">
        <v>49</v>
      </c>
      <c r="E8" s="14" t="str">
        <f t="shared" si="0"/>
        <v>T-shirt Adidas</v>
      </c>
      <c r="F8" s="14">
        <v>30</v>
      </c>
      <c r="G8" s="14">
        <v>5</v>
      </c>
      <c r="H8" s="10" t="s">
        <v>32</v>
      </c>
    </row>
    <row r="9" spans="1:8">
      <c r="A9" s="15">
        <v>46257</v>
      </c>
      <c r="B9" s="16" t="s">
        <v>117</v>
      </c>
      <c r="C9" s="16" t="s">
        <v>51</v>
      </c>
      <c r="D9" s="16" t="s">
        <v>52</v>
      </c>
      <c r="E9" s="14" t="str">
        <f t="shared" si="0"/>
        <v>Blender Ninja</v>
      </c>
      <c r="F9" s="16">
        <v>90</v>
      </c>
      <c r="G9" s="16">
        <v>35</v>
      </c>
      <c r="H9" s="11" t="s">
        <v>36</v>
      </c>
    </row>
    <row r="10" spans="1:8">
      <c r="A10" s="13">
        <v>46270</v>
      </c>
      <c r="B10" s="14" t="s">
        <v>117</v>
      </c>
      <c r="C10" s="14" t="s">
        <v>54</v>
      </c>
      <c r="D10" s="14" t="s">
        <v>55</v>
      </c>
      <c r="E10" s="14" t="str">
        <f t="shared" si="0"/>
        <v>Tablet Apple</v>
      </c>
      <c r="F10" s="14">
        <v>500</v>
      </c>
      <c r="G10" s="14">
        <v>50</v>
      </c>
      <c r="H10" s="10" t="s">
        <v>28</v>
      </c>
    </row>
    <row r="11" spans="1:8">
      <c r="A11" s="15">
        <v>46309</v>
      </c>
      <c r="B11" s="16" t="s">
        <v>117</v>
      </c>
      <c r="C11" s="16" t="s">
        <v>57</v>
      </c>
      <c r="D11" s="16" t="s">
        <v>58</v>
      </c>
      <c r="E11" s="14" t="str">
        <f t="shared" si="0"/>
        <v>Hiking Boots Timberland</v>
      </c>
      <c r="F11" s="16">
        <v>130</v>
      </c>
      <c r="G11" s="16">
        <v>10</v>
      </c>
      <c r="H11" s="11" t="s">
        <v>59</v>
      </c>
    </row>
    <row r="12" spans="1:8">
      <c r="A12" s="13">
        <v>46190</v>
      </c>
      <c r="B12" s="14" t="s">
        <v>118</v>
      </c>
      <c r="C12" s="14" t="s">
        <v>61</v>
      </c>
      <c r="D12" s="14" t="s">
        <v>62</v>
      </c>
      <c r="E12" s="14" t="str">
        <f t="shared" si="0"/>
        <v>Laptop HP</v>
      </c>
      <c r="F12" s="14">
        <v>950</v>
      </c>
      <c r="G12" s="14">
        <v>25</v>
      </c>
      <c r="H12" s="10" t="s">
        <v>28</v>
      </c>
    </row>
    <row r="13" spans="1:8">
      <c r="A13" s="15">
        <v>46351</v>
      </c>
      <c r="B13" s="16" t="s">
        <v>119</v>
      </c>
      <c r="C13" s="16" t="s">
        <v>30</v>
      </c>
      <c r="D13" s="16" t="s">
        <v>49</v>
      </c>
      <c r="E13" s="14" t="str">
        <f t="shared" si="0"/>
        <v>Sneakers Adidas</v>
      </c>
      <c r="F13" s="16">
        <v>90</v>
      </c>
      <c r="G13" s="16">
        <v>40</v>
      </c>
      <c r="H13" s="10" t="s">
        <v>32</v>
      </c>
    </row>
    <row r="14" spans="1:8">
      <c r="A14" s="13">
        <v>46364</v>
      </c>
      <c r="B14" s="14" t="s">
        <v>120</v>
      </c>
      <c r="C14" s="14" t="s">
        <v>34</v>
      </c>
      <c r="D14" s="14" t="s">
        <v>65</v>
      </c>
      <c r="E14" s="14" t="str">
        <f t="shared" si="0"/>
        <v>Coffee Maker Nespresso</v>
      </c>
      <c r="F14" s="14">
        <v>120</v>
      </c>
      <c r="G14" s="14">
        <v>35</v>
      </c>
      <c r="H14" s="11" t="s">
        <v>36</v>
      </c>
    </row>
    <row r="15" spans="1:8">
      <c r="A15" s="15">
        <v>46071</v>
      </c>
      <c r="B15" s="16" t="s">
        <v>121</v>
      </c>
      <c r="C15" s="16" t="s">
        <v>67</v>
      </c>
      <c r="D15" s="16" t="s">
        <v>68</v>
      </c>
      <c r="E15" s="14" t="str">
        <f t="shared" si="0"/>
        <v>Smartwatch Fitbit</v>
      </c>
      <c r="F15" s="16">
        <v>150</v>
      </c>
      <c r="G15" s="16">
        <v>15</v>
      </c>
      <c r="H15" s="10" t="s">
        <v>28</v>
      </c>
    </row>
    <row r="16" spans="1:8">
      <c r="A16" s="13">
        <v>46128</v>
      </c>
      <c r="B16" s="14" t="s">
        <v>122</v>
      </c>
      <c r="C16" s="14" t="s">
        <v>70</v>
      </c>
      <c r="D16" s="14" t="s">
        <v>71</v>
      </c>
      <c r="E16" s="14" t="str">
        <f t="shared" si="0"/>
        <v>headphones Bose</v>
      </c>
      <c r="F16" s="14">
        <v>250</v>
      </c>
      <c r="G16" s="14">
        <v>20</v>
      </c>
      <c r="H16" s="10" t="s">
        <v>28</v>
      </c>
    </row>
    <row r="17" spans="1:8">
      <c r="A17" s="15">
        <v>46255</v>
      </c>
      <c r="B17" s="16" t="s">
        <v>121</v>
      </c>
      <c r="C17" s="16" t="s">
        <v>73</v>
      </c>
      <c r="D17" s="16" t="s">
        <v>74</v>
      </c>
      <c r="E17" s="14" t="str">
        <f t="shared" si="0"/>
        <v>Laptop Bag Samsonite</v>
      </c>
      <c r="F17" s="16">
        <v>50</v>
      </c>
      <c r="G17" s="16">
        <v>35</v>
      </c>
      <c r="H17" s="11" t="s">
        <v>75</v>
      </c>
    </row>
    <row r="18" spans="1:8">
      <c r="A18" s="13">
        <v>46254</v>
      </c>
      <c r="B18" s="14" t="s">
        <v>123</v>
      </c>
      <c r="C18" s="14" t="s">
        <v>67</v>
      </c>
      <c r="D18" s="14" t="s">
        <v>77</v>
      </c>
      <c r="E18" s="14" t="str">
        <f t="shared" si="0"/>
        <v>Smartwatch Huawei</v>
      </c>
      <c r="F18" s="14">
        <v>160</v>
      </c>
      <c r="G18" s="14">
        <v>15</v>
      </c>
      <c r="H18" s="10" t="s">
        <v>28</v>
      </c>
    </row>
    <row r="19" spans="1:8">
      <c r="A19" s="15">
        <v>46049</v>
      </c>
      <c r="B19" s="16" t="s">
        <v>124</v>
      </c>
      <c r="C19" s="16" t="s">
        <v>26</v>
      </c>
      <c r="D19" s="16" t="s">
        <v>79</v>
      </c>
      <c r="E19" s="14" t="str">
        <f t="shared" si="0"/>
        <v>laptop Asus</v>
      </c>
      <c r="F19" s="16">
        <v>980</v>
      </c>
      <c r="G19" s="16">
        <v>10</v>
      </c>
      <c r="H19" s="11" t="s">
        <v>28</v>
      </c>
    </row>
    <row r="20" spans="1:8">
      <c r="A20" s="13">
        <v>46082</v>
      </c>
      <c r="B20" s="14" t="s">
        <v>117</v>
      </c>
      <c r="C20" s="14" t="s">
        <v>81</v>
      </c>
      <c r="D20" s="14" t="s">
        <v>82</v>
      </c>
      <c r="E20" s="14" t="str">
        <f t="shared" si="0"/>
        <v>Sunglasses Oakley</v>
      </c>
      <c r="F20" s="14">
        <v>150</v>
      </c>
      <c r="G20" s="14">
        <v>15</v>
      </c>
      <c r="H20" s="10" t="s">
        <v>32</v>
      </c>
    </row>
    <row r="21" spans="1:8">
      <c r="A21" s="15">
        <v>46248</v>
      </c>
      <c r="B21" s="23" t="s">
        <v>116</v>
      </c>
      <c r="C21" s="16" t="s">
        <v>84</v>
      </c>
      <c r="D21" s="16" t="s">
        <v>85</v>
      </c>
      <c r="E21" s="14" t="str">
        <f t="shared" si="0"/>
        <v>Camping Tent Coleman</v>
      </c>
      <c r="F21" s="16">
        <v>130</v>
      </c>
      <c r="G21" s="16">
        <v>10</v>
      </c>
      <c r="H21" s="11" t="s">
        <v>59</v>
      </c>
    </row>
    <row r="22" spans="1:8">
      <c r="A22" s="13">
        <v>46156</v>
      </c>
      <c r="B22" s="14" t="s">
        <v>125</v>
      </c>
      <c r="C22" s="14" t="s">
        <v>87</v>
      </c>
      <c r="D22" s="14" t="s">
        <v>88</v>
      </c>
      <c r="E22" s="14" t="str">
        <f t="shared" si="0"/>
        <v>Camera Nikon</v>
      </c>
      <c r="F22" s="14">
        <v>700</v>
      </c>
      <c r="G22" s="14">
        <v>50</v>
      </c>
      <c r="H22" s="10" t="s">
        <v>28</v>
      </c>
    </row>
    <row r="23" spans="1:8">
      <c r="A23" s="15">
        <v>46031</v>
      </c>
      <c r="B23" s="16" t="s">
        <v>121</v>
      </c>
      <c r="C23" s="16" t="s">
        <v>90</v>
      </c>
      <c r="D23" s="16" t="s">
        <v>91</v>
      </c>
      <c r="E23" s="14" t="str">
        <f t="shared" si="0"/>
        <v>Microwave Panasonic</v>
      </c>
      <c r="F23" s="16">
        <v>80</v>
      </c>
      <c r="G23" s="16">
        <v>20</v>
      </c>
      <c r="H23" s="11" t="s">
        <v>36</v>
      </c>
    </row>
    <row r="24" spans="1:8">
      <c r="A24" s="13">
        <v>46222</v>
      </c>
      <c r="B24" s="14" t="s">
        <v>126</v>
      </c>
      <c r="C24" s="14" t="s">
        <v>93</v>
      </c>
      <c r="D24" s="14" t="s">
        <v>94</v>
      </c>
      <c r="E24" s="14" t="str">
        <f t="shared" si="0"/>
        <v>Fitness Tracker Xiaomi</v>
      </c>
      <c r="F24" s="14">
        <v>150</v>
      </c>
      <c r="G24" s="14">
        <v>30</v>
      </c>
      <c r="H24" s="10" t="s">
        <v>28</v>
      </c>
    </row>
    <row r="25" spans="1:8">
      <c r="A25" s="13">
        <v>46294</v>
      </c>
      <c r="B25" s="14" t="s">
        <v>121</v>
      </c>
      <c r="C25" s="14" t="s">
        <v>96</v>
      </c>
      <c r="D25" s="14" t="s">
        <v>97</v>
      </c>
      <c r="E25" s="14" t="str">
        <f t="shared" si="0"/>
        <v>Smartphone Google</v>
      </c>
      <c r="F25" s="14">
        <v>800</v>
      </c>
      <c r="G25" s="14">
        <v>45</v>
      </c>
      <c r="H25" s="10" t="s">
        <v>28</v>
      </c>
    </row>
    <row r="26" spans="1:8">
      <c r="A26" s="15">
        <v>46176</v>
      </c>
      <c r="B26" s="16" t="s">
        <v>121</v>
      </c>
      <c r="C26" s="16" t="s">
        <v>81</v>
      </c>
      <c r="D26" s="16" t="s">
        <v>99</v>
      </c>
      <c r="E26" s="14" t="str">
        <f t="shared" si="0"/>
        <v>Sunglasses Ray-Ban</v>
      </c>
      <c r="F26" s="16">
        <v>130</v>
      </c>
      <c r="G26" s="16">
        <v>25</v>
      </c>
      <c r="H26" s="11" t="s">
        <v>32</v>
      </c>
    </row>
    <row r="27" spans="1:8">
      <c r="A27" s="13">
        <v>46214</v>
      </c>
      <c r="B27" s="14" t="s">
        <v>121</v>
      </c>
      <c r="C27" s="14" t="s">
        <v>51</v>
      </c>
      <c r="D27" s="14" t="s">
        <v>101</v>
      </c>
      <c r="E27" s="14" t="str">
        <f t="shared" si="0"/>
        <v>Blender Vitamix</v>
      </c>
      <c r="F27" s="14">
        <v>400</v>
      </c>
      <c r="G27" s="14">
        <v>40</v>
      </c>
      <c r="H27" s="10" t="s">
        <v>36</v>
      </c>
    </row>
    <row r="28" spans="1:8">
      <c r="A28" s="13">
        <v>46088</v>
      </c>
      <c r="B28" s="14" t="s">
        <v>121</v>
      </c>
      <c r="C28" s="14" t="s">
        <v>103</v>
      </c>
      <c r="D28" s="14" t="s">
        <v>104</v>
      </c>
      <c r="E28" s="14" t="str">
        <f t="shared" si="0"/>
        <v>Dress Zara</v>
      </c>
      <c r="F28" s="14">
        <v>60</v>
      </c>
      <c r="G28" s="14">
        <v>30</v>
      </c>
      <c r="H28" s="10" t="s">
        <v>32</v>
      </c>
    </row>
    <row r="29" spans="1:8">
      <c r="A29" s="15">
        <v>46125</v>
      </c>
      <c r="B29" s="16" t="s">
        <v>121</v>
      </c>
      <c r="C29" s="16" t="s">
        <v>106</v>
      </c>
      <c r="D29" s="16" t="s">
        <v>107</v>
      </c>
      <c r="E29" s="14" t="str">
        <f t="shared" si="0"/>
        <v>Toaster Hamilton</v>
      </c>
      <c r="F29" s="16">
        <v>40</v>
      </c>
      <c r="G29" s="16">
        <v>10</v>
      </c>
      <c r="H29" s="11" t="s">
        <v>36</v>
      </c>
    </row>
    <row r="30" spans="1:8">
      <c r="A30" s="13">
        <v>46166</v>
      </c>
      <c r="B30" s="14" t="s">
        <v>121</v>
      </c>
      <c r="C30" s="14" t="s">
        <v>93</v>
      </c>
      <c r="D30" s="14" t="s">
        <v>109</v>
      </c>
      <c r="E30" s="14" t="str">
        <f t="shared" si="0"/>
        <v>Fitness Tracker Garmin</v>
      </c>
      <c r="F30" s="14">
        <v>130</v>
      </c>
      <c r="G30" s="14">
        <v>5</v>
      </c>
      <c r="H30" s="10" t="s">
        <v>28</v>
      </c>
    </row>
    <row r="31" spans="1:8">
      <c r="A31" s="15">
        <v>46358</v>
      </c>
      <c r="B31" s="16" t="s">
        <v>121</v>
      </c>
      <c r="C31" s="16" t="s">
        <v>111</v>
      </c>
      <c r="D31" s="16" t="s">
        <v>112</v>
      </c>
      <c r="E31" s="14" t="str">
        <f t="shared" si="0"/>
        <v>Jeans Levi's</v>
      </c>
      <c r="F31" s="16">
        <v>50</v>
      </c>
      <c r="G31" s="16">
        <v>50</v>
      </c>
      <c r="H31" s="11" t="s">
        <v>32</v>
      </c>
    </row>
    <row r="32" spans="1:8">
      <c r="A32" s="15">
        <v>46212</v>
      </c>
      <c r="B32" s="16" t="s">
        <v>127</v>
      </c>
      <c r="C32" s="16" t="s">
        <v>114</v>
      </c>
      <c r="D32" s="16" t="s">
        <v>115</v>
      </c>
      <c r="E32" s="14" t="str">
        <f t="shared" si="0"/>
        <v>Watch Casio</v>
      </c>
      <c r="F32" s="16">
        <v>100</v>
      </c>
      <c r="G32" s="16">
        <v>20</v>
      </c>
      <c r="H32" s="11" t="s">
        <v>75</v>
      </c>
    </row>
    <row r="33" spans="1:8">
      <c r="A33"/>
      <c r="B33"/>
      <c r="C33"/>
      <c r="D33"/>
      <c r="E33"/>
      <c r="F33"/>
      <c r="G33"/>
      <c r="H33"/>
    </row>
    <row r="34" spans="1:8">
      <c r="A34"/>
      <c r="B34"/>
      <c r="C34"/>
      <c r="D34"/>
      <c r="E34"/>
      <c r="F34"/>
      <c r="G34"/>
      <c r="H34"/>
    </row>
    <row r="35" spans="1:8">
      <c r="A35"/>
      <c r="B35"/>
      <c r="C35"/>
      <c r="D35"/>
      <c r="E35"/>
      <c r="F35"/>
      <c r="G35"/>
      <c r="H35"/>
    </row>
    <row r="36" spans="1:8" ht="39.6">
      <c r="B36" s="31" t="s">
        <v>137</v>
      </c>
    </row>
    <row r="37" spans="1:8" ht="52.8">
      <c r="B37" s="30" t="s">
        <v>138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opLeftCell="A15" workbookViewId="0">
      <selection activeCell="B35" sqref="B35"/>
    </sheetView>
  </sheetViews>
  <sheetFormatPr defaultRowHeight="13.2"/>
  <cols>
    <col min="1" max="1" width="20.44140625" style="22" customWidth="1"/>
    <col min="2" max="2" width="34.5546875" customWidth="1"/>
    <col min="3" max="3" width="17.6640625" customWidth="1"/>
    <col min="4" max="4" width="14.33203125" customWidth="1"/>
    <col min="5" max="5" width="20.77734375" customWidth="1"/>
    <col min="6" max="6" width="12.109375" customWidth="1"/>
    <col min="7" max="7" width="10.77734375" bestFit="1" customWidth="1"/>
    <col min="8" max="8" width="13.88671875" customWidth="1"/>
  </cols>
  <sheetData>
    <row r="1" spans="1:8">
      <c r="A1" s="19" t="s">
        <v>129</v>
      </c>
      <c r="B1" s="9" t="s">
        <v>128</v>
      </c>
      <c r="C1" s="9" t="s">
        <v>20</v>
      </c>
      <c r="D1" s="9" t="s">
        <v>21</v>
      </c>
      <c r="E1" s="9" t="s">
        <v>130</v>
      </c>
      <c r="F1" s="9" t="s">
        <v>22</v>
      </c>
      <c r="G1" s="9" t="s">
        <v>23</v>
      </c>
      <c r="H1" s="9" t="s">
        <v>24</v>
      </c>
    </row>
    <row r="2" spans="1:8">
      <c r="A2" s="20">
        <v>46050</v>
      </c>
      <c r="B2" s="14" t="s">
        <v>116</v>
      </c>
      <c r="C2" s="14" t="s">
        <v>26</v>
      </c>
      <c r="D2" s="14" t="s">
        <v>27</v>
      </c>
      <c r="E2" s="14" t="str">
        <f t="shared" ref="E2:E32" si="0">CONCATENATE(C2," ",D2)</f>
        <v>laptop Dell</v>
      </c>
      <c r="F2" s="17">
        <v>1000</v>
      </c>
      <c r="G2" s="14">
        <v>30</v>
      </c>
      <c r="H2" s="10" t="s">
        <v>28</v>
      </c>
    </row>
    <row r="3" spans="1:8">
      <c r="A3" s="21">
        <v>46068</v>
      </c>
      <c r="B3" s="16" t="s">
        <v>116</v>
      </c>
      <c r="C3" s="16" t="s">
        <v>30</v>
      </c>
      <c r="D3" s="16" t="s">
        <v>31</v>
      </c>
      <c r="E3" s="14" t="str">
        <f t="shared" si="0"/>
        <v>Sneakers Nike</v>
      </c>
      <c r="F3" s="18">
        <v>80</v>
      </c>
      <c r="G3" s="16">
        <v>15</v>
      </c>
      <c r="H3" s="11" t="s">
        <v>32</v>
      </c>
    </row>
    <row r="4" spans="1:8">
      <c r="A4" s="20">
        <v>46084</v>
      </c>
      <c r="B4" s="14" t="s">
        <v>116</v>
      </c>
      <c r="C4" s="14" t="s">
        <v>34</v>
      </c>
      <c r="D4" s="14" t="s">
        <v>35</v>
      </c>
      <c r="E4" s="14" t="str">
        <f t="shared" si="0"/>
        <v>Coffee Maker Keurig</v>
      </c>
      <c r="F4" s="17">
        <v>130</v>
      </c>
      <c r="G4" s="14">
        <v>40</v>
      </c>
      <c r="H4" s="10" t="s">
        <v>36</v>
      </c>
    </row>
    <row r="5" spans="1:8">
      <c r="A5" s="21">
        <v>46123</v>
      </c>
      <c r="B5" s="16" t="s">
        <v>116</v>
      </c>
      <c r="C5" s="16" t="s">
        <v>38</v>
      </c>
      <c r="D5" s="16" t="s">
        <v>39</v>
      </c>
      <c r="E5" s="14" t="str">
        <f t="shared" si="0"/>
        <v>smartphone Samsung</v>
      </c>
      <c r="F5" s="18">
        <v>900</v>
      </c>
      <c r="G5" s="16">
        <v>25</v>
      </c>
      <c r="H5" s="11" t="s">
        <v>28</v>
      </c>
    </row>
    <row r="6" spans="1:8">
      <c r="A6" s="20">
        <v>46164</v>
      </c>
      <c r="B6" s="14" t="s">
        <v>116</v>
      </c>
      <c r="C6" s="14" t="s">
        <v>41</v>
      </c>
      <c r="D6" s="14" t="s">
        <v>42</v>
      </c>
      <c r="E6" s="14" t="str">
        <f t="shared" si="0"/>
        <v>Backpack North Face</v>
      </c>
      <c r="F6" s="17">
        <v>70</v>
      </c>
      <c r="G6" s="14">
        <v>20</v>
      </c>
      <c r="H6" s="11" t="s">
        <v>75</v>
      </c>
    </row>
    <row r="7" spans="1:8">
      <c r="A7" s="21">
        <v>46180</v>
      </c>
      <c r="B7" s="16" t="s">
        <v>117</v>
      </c>
      <c r="C7" s="16" t="s">
        <v>44</v>
      </c>
      <c r="D7" s="16" t="s">
        <v>45</v>
      </c>
      <c r="E7" s="14" t="str">
        <f t="shared" si="0"/>
        <v>Headphones Sony</v>
      </c>
      <c r="F7" s="17">
        <v>130</v>
      </c>
      <c r="G7" s="16">
        <v>45</v>
      </c>
      <c r="H7" s="10" t="s">
        <v>28</v>
      </c>
    </row>
    <row r="8" spans="1:8">
      <c r="A8" s="20">
        <v>46222</v>
      </c>
      <c r="B8" s="14" t="s">
        <v>117</v>
      </c>
      <c r="C8" s="14" t="s">
        <v>48</v>
      </c>
      <c r="D8" s="14" t="s">
        <v>49</v>
      </c>
      <c r="E8" s="14" t="str">
        <f t="shared" si="0"/>
        <v>T-shirt Adidas</v>
      </c>
      <c r="F8" s="17">
        <v>30</v>
      </c>
      <c r="G8" s="14">
        <v>5</v>
      </c>
      <c r="H8" s="10" t="s">
        <v>32</v>
      </c>
    </row>
    <row r="9" spans="1:8">
      <c r="A9" s="21">
        <v>46257</v>
      </c>
      <c r="B9" s="16" t="s">
        <v>117</v>
      </c>
      <c r="C9" s="16" t="s">
        <v>51</v>
      </c>
      <c r="D9" s="16" t="s">
        <v>52</v>
      </c>
      <c r="E9" s="14" t="str">
        <f t="shared" si="0"/>
        <v>Blender Ninja</v>
      </c>
      <c r="F9" s="18">
        <v>90</v>
      </c>
      <c r="G9" s="16">
        <v>35</v>
      </c>
      <c r="H9" s="11" t="s">
        <v>36</v>
      </c>
    </row>
    <row r="10" spans="1:8">
      <c r="A10" s="20">
        <v>46270</v>
      </c>
      <c r="B10" s="14" t="s">
        <v>117</v>
      </c>
      <c r="C10" s="14" t="s">
        <v>54</v>
      </c>
      <c r="D10" s="14" t="s">
        <v>55</v>
      </c>
      <c r="E10" s="14" t="str">
        <f t="shared" si="0"/>
        <v>Tablet Apple</v>
      </c>
      <c r="F10" s="17">
        <v>500</v>
      </c>
      <c r="G10" s="14">
        <v>50</v>
      </c>
      <c r="H10" s="10" t="s">
        <v>28</v>
      </c>
    </row>
    <row r="11" spans="1:8">
      <c r="A11" s="21">
        <v>46309</v>
      </c>
      <c r="B11" s="16" t="s">
        <v>117</v>
      </c>
      <c r="C11" s="16" t="s">
        <v>57</v>
      </c>
      <c r="D11" s="16" t="s">
        <v>58</v>
      </c>
      <c r="E11" s="14" t="str">
        <f t="shared" si="0"/>
        <v>Hiking Boots Timberland</v>
      </c>
      <c r="F11" s="18">
        <v>130</v>
      </c>
      <c r="G11" s="16">
        <v>10</v>
      </c>
      <c r="H11" s="11" t="s">
        <v>59</v>
      </c>
    </row>
    <row r="12" spans="1:8">
      <c r="A12" s="20">
        <v>46190</v>
      </c>
      <c r="B12" s="14" t="s">
        <v>118</v>
      </c>
      <c r="C12" s="14" t="s">
        <v>61</v>
      </c>
      <c r="D12" s="14" t="s">
        <v>62</v>
      </c>
      <c r="E12" s="14" t="str">
        <f t="shared" si="0"/>
        <v>Laptop HP</v>
      </c>
      <c r="F12" s="17">
        <v>950</v>
      </c>
      <c r="G12" s="14">
        <v>25</v>
      </c>
      <c r="H12" s="10" t="s">
        <v>28</v>
      </c>
    </row>
    <row r="13" spans="1:8">
      <c r="A13" s="21">
        <v>46351</v>
      </c>
      <c r="B13" s="16" t="s">
        <v>119</v>
      </c>
      <c r="C13" s="16" t="s">
        <v>30</v>
      </c>
      <c r="D13" s="16" t="s">
        <v>49</v>
      </c>
      <c r="E13" s="14" t="str">
        <f t="shared" si="0"/>
        <v>Sneakers Adidas</v>
      </c>
      <c r="F13" s="18">
        <v>90</v>
      </c>
      <c r="G13" s="16">
        <v>40</v>
      </c>
      <c r="H13" s="10" t="s">
        <v>32</v>
      </c>
    </row>
    <row r="14" spans="1:8">
      <c r="A14" s="20">
        <v>46364</v>
      </c>
      <c r="B14" s="14" t="s">
        <v>120</v>
      </c>
      <c r="C14" s="14" t="s">
        <v>34</v>
      </c>
      <c r="D14" s="14" t="s">
        <v>65</v>
      </c>
      <c r="E14" s="14" t="str">
        <f t="shared" si="0"/>
        <v>Coffee Maker Nespresso</v>
      </c>
      <c r="F14" s="17">
        <v>120</v>
      </c>
      <c r="G14" s="14">
        <v>35</v>
      </c>
      <c r="H14" s="11" t="s">
        <v>36</v>
      </c>
    </row>
    <row r="15" spans="1:8">
      <c r="A15" s="21">
        <v>46071</v>
      </c>
      <c r="B15" s="16" t="s">
        <v>121</v>
      </c>
      <c r="C15" s="16" t="s">
        <v>67</v>
      </c>
      <c r="D15" s="16" t="s">
        <v>68</v>
      </c>
      <c r="E15" s="14" t="str">
        <f t="shared" si="0"/>
        <v>Smartwatch Fitbit</v>
      </c>
      <c r="F15" s="18">
        <v>150</v>
      </c>
      <c r="G15" s="16">
        <v>15</v>
      </c>
      <c r="H15" s="10" t="s">
        <v>28</v>
      </c>
    </row>
    <row r="16" spans="1:8">
      <c r="A16" s="20">
        <v>46128</v>
      </c>
      <c r="B16" s="14" t="s">
        <v>122</v>
      </c>
      <c r="C16" s="14" t="s">
        <v>70</v>
      </c>
      <c r="D16" s="14" t="s">
        <v>71</v>
      </c>
      <c r="E16" s="14" t="str">
        <f t="shared" si="0"/>
        <v>headphones Bose</v>
      </c>
      <c r="F16" s="17">
        <v>250</v>
      </c>
      <c r="G16" s="14">
        <v>20</v>
      </c>
      <c r="H16" s="10" t="s">
        <v>28</v>
      </c>
    </row>
    <row r="17" spans="1:8">
      <c r="A17" s="21">
        <v>46255</v>
      </c>
      <c r="B17" s="16" t="s">
        <v>121</v>
      </c>
      <c r="C17" s="16" t="s">
        <v>73</v>
      </c>
      <c r="D17" s="16" t="s">
        <v>74</v>
      </c>
      <c r="E17" s="14" t="str">
        <f t="shared" si="0"/>
        <v>Laptop Bag Samsonite</v>
      </c>
      <c r="F17" s="18">
        <v>50</v>
      </c>
      <c r="G17" s="16">
        <v>35</v>
      </c>
      <c r="H17" s="11" t="s">
        <v>75</v>
      </c>
    </row>
    <row r="18" spans="1:8">
      <c r="A18" s="20">
        <v>46254</v>
      </c>
      <c r="B18" s="14" t="s">
        <v>123</v>
      </c>
      <c r="C18" s="14" t="s">
        <v>67</v>
      </c>
      <c r="D18" s="14" t="s">
        <v>77</v>
      </c>
      <c r="E18" s="14" t="str">
        <f t="shared" si="0"/>
        <v>Smartwatch Huawei</v>
      </c>
      <c r="F18" s="17">
        <v>160</v>
      </c>
      <c r="G18" s="14">
        <v>15</v>
      </c>
      <c r="H18" s="10" t="s">
        <v>28</v>
      </c>
    </row>
    <row r="19" spans="1:8">
      <c r="A19" s="21">
        <v>46049</v>
      </c>
      <c r="B19" s="16" t="s">
        <v>124</v>
      </c>
      <c r="C19" s="16" t="s">
        <v>26</v>
      </c>
      <c r="D19" s="16" t="s">
        <v>79</v>
      </c>
      <c r="E19" s="14" t="str">
        <f t="shared" si="0"/>
        <v>laptop Asus</v>
      </c>
      <c r="F19" s="18">
        <v>980</v>
      </c>
      <c r="G19" s="16">
        <v>10</v>
      </c>
      <c r="H19" s="11" t="s">
        <v>28</v>
      </c>
    </row>
    <row r="20" spans="1:8">
      <c r="A20" s="20">
        <v>46082</v>
      </c>
      <c r="B20" s="14" t="s">
        <v>117</v>
      </c>
      <c r="C20" s="14" t="s">
        <v>81</v>
      </c>
      <c r="D20" s="14" t="s">
        <v>82</v>
      </c>
      <c r="E20" s="14" t="str">
        <f t="shared" si="0"/>
        <v>Sunglasses Oakley</v>
      </c>
      <c r="F20" s="17">
        <v>150</v>
      </c>
      <c r="G20" s="14">
        <v>15</v>
      </c>
      <c r="H20" s="10" t="s">
        <v>32</v>
      </c>
    </row>
    <row r="21" spans="1:8">
      <c r="A21" s="21">
        <v>46248</v>
      </c>
      <c r="B21" s="23" t="s">
        <v>116</v>
      </c>
      <c r="C21" s="16" t="s">
        <v>84</v>
      </c>
      <c r="D21" s="16" t="s">
        <v>85</v>
      </c>
      <c r="E21" s="14" t="str">
        <f t="shared" si="0"/>
        <v>Camping Tent Coleman</v>
      </c>
      <c r="F21" s="17">
        <v>130</v>
      </c>
      <c r="G21" s="16">
        <v>10</v>
      </c>
      <c r="H21" s="11" t="s">
        <v>59</v>
      </c>
    </row>
    <row r="22" spans="1:8">
      <c r="A22" s="20">
        <v>46156</v>
      </c>
      <c r="B22" s="14" t="s">
        <v>125</v>
      </c>
      <c r="C22" s="14" t="s">
        <v>87</v>
      </c>
      <c r="D22" s="14" t="s">
        <v>88</v>
      </c>
      <c r="E22" s="14" t="str">
        <f t="shared" si="0"/>
        <v>Camera Nikon</v>
      </c>
      <c r="F22" s="17">
        <v>700</v>
      </c>
      <c r="G22" s="14">
        <v>50</v>
      </c>
      <c r="H22" s="10" t="s">
        <v>28</v>
      </c>
    </row>
    <row r="23" spans="1:8">
      <c r="A23" s="21">
        <v>46031</v>
      </c>
      <c r="B23" s="16" t="s">
        <v>121</v>
      </c>
      <c r="C23" s="16" t="s">
        <v>90</v>
      </c>
      <c r="D23" s="16" t="s">
        <v>91</v>
      </c>
      <c r="E23" s="14" t="str">
        <f t="shared" si="0"/>
        <v>Microwave Panasonic</v>
      </c>
      <c r="F23" s="18">
        <v>80</v>
      </c>
      <c r="G23" s="16">
        <v>20</v>
      </c>
      <c r="H23" s="11" t="s">
        <v>36</v>
      </c>
    </row>
    <row r="24" spans="1:8">
      <c r="A24" s="20">
        <v>46222</v>
      </c>
      <c r="B24" s="14" t="s">
        <v>126</v>
      </c>
      <c r="C24" s="14" t="s">
        <v>93</v>
      </c>
      <c r="D24" s="14" t="s">
        <v>94</v>
      </c>
      <c r="E24" s="14" t="str">
        <f t="shared" si="0"/>
        <v>Fitness Tracker Xiaomi</v>
      </c>
      <c r="F24" s="17">
        <v>150</v>
      </c>
      <c r="G24" s="14">
        <v>30</v>
      </c>
      <c r="H24" s="10" t="s">
        <v>28</v>
      </c>
    </row>
    <row r="25" spans="1:8">
      <c r="A25" s="20">
        <v>46294</v>
      </c>
      <c r="B25" s="14" t="s">
        <v>121</v>
      </c>
      <c r="C25" s="14" t="s">
        <v>96</v>
      </c>
      <c r="D25" s="14" t="s">
        <v>97</v>
      </c>
      <c r="E25" s="14" t="str">
        <f t="shared" si="0"/>
        <v>Smartphone Google</v>
      </c>
      <c r="F25" s="17">
        <v>800</v>
      </c>
      <c r="G25" s="14">
        <v>45</v>
      </c>
      <c r="H25" s="10" t="s">
        <v>28</v>
      </c>
    </row>
    <row r="26" spans="1:8">
      <c r="A26" s="21">
        <v>46176</v>
      </c>
      <c r="B26" s="16" t="s">
        <v>121</v>
      </c>
      <c r="C26" s="16" t="s">
        <v>81</v>
      </c>
      <c r="D26" s="16" t="s">
        <v>99</v>
      </c>
      <c r="E26" s="14" t="str">
        <f t="shared" si="0"/>
        <v>Sunglasses Ray-Ban</v>
      </c>
      <c r="F26" s="17">
        <v>130</v>
      </c>
      <c r="G26" s="16">
        <v>25</v>
      </c>
      <c r="H26" s="11" t="s">
        <v>32</v>
      </c>
    </row>
    <row r="27" spans="1:8">
      <c r="A27" s="20">
        <v>46214</v>
      </c>
      <c r="B27" s="14" t="s">
        <v>121</v>
      </c>
      <c r="C27" s="14" t="s">
        <v>51</v>
      </c>
      <c r="D27" s="14" t="s">
        <v>101</v>
      </c>
      <c r="E27" s="14" t="str">
        <f t="shared" si="0"/>
        <v>Blender Vitamix</v>
      </c>
      <c r="F27" s="17">
        <v>400</v>
      </c>
      <c r="G27" s="14">
        <v>40</v>
      </c>
      <c r="H27" s="10" t="s">
        <v>36</v>
      </c>
    </row>
    <row r="28" spans="1:8">
      <c r="A28" s="20">
        <v>46088</v>
      </c>
      <c r="B28" s="14" t="s">
        <v>121</v>
      </c>
      <c r="C28" s="14" t="s">
        <v>103</v>
      </c>
      <c r="D28" s="14" t="s">
        <v>104</v>
      </c>
      <c r="E28" s="14" t="str">
        <f t="shared" si="0"/>
        <v>Dress Zara</v>
      </c>
      <c r="F28" s="17">
        <v>60</v>
      </c>
      <c r="G28" s="14">
        <v>30</v>
      </c>
      <c r="H28" s="10" t="s">
        <v>32</v>
      </c>
    </row>
    <row r="29" spans="1:8">
      <c r="A29" s="21">
        <v>46125</v>
      </c>
      <c r="B29" s="16" t="s">
        <v>121</v>
      </c>
      <c r="C29" s="16" t="s">
        <v>106</v>
      </c>
      <c r="D29" s="16" t="s">
        <v>107</v>
      </c>
      <c r="E29" s="14" t="str">
        <f t="shared" si="0"/>
        <v>Toaster Hamilton</v>
      </c>
      <c r="F29" s="18">
        <v>40</v>
      </c>
      <c r="G29" s="16">
        <v>10</v>
      </c>
      <c r="H29" s="11" t="s">
        <v>36</v>
      </c>
    </row>
    <row r="30" spans="1:8">
      <c r="A30" s="20">
        <v>46166</v>
      </c>
      <c r="B30" s="14" t="s">
        <v>121</v>
      </c>
      <c r="C30" s="14" t="s">
        <v>93</v>
      </c>
      <c r="D30" s="14" t="s">
        <v>109</v>
      </c>
      <c r="E30" s="14" t="str">
        <f t="shared" si="0"/>
        <v>Fitness Tracker Garmin</v>
      </c>
      <c r="F30" s="17">
        <v>130</v>
      </c>
      <c r="G30" s="14">
        <v>5</v>
      </c>
      <c r="H30" s="10" t="s">
        <v>28</v>
      </c>
    </row>
    <row r="31" spans="1:8">
      <c r="A31" s="21">
        <v>46358</v>
      </c>
      <c r="B31" s="16" t="s">
        <v>121</v>
      </c>
      <c r="C31" s="16" t="s">
        <v>111</v>
      </c>
      <c r="D31" s="16" t="s">
        <v>112</v>
      </c>
      <c r="E31" s="14" t="str">
        <f t="shared" si="0"/>
        <v>Jeans Levi's</v>
      </c>
      <c r="F31" s="18">
        <v>50</v>
      </c>
      <c r="G31" s="16">
        <v>50</v>
      </c>
      <c r="H31" s="11" t="s">
        <v>32</v>
      </c>
    </row>
    <row r="32" spans="1:8">
      <c r="A32" s="21">
        <v>46212</v>
      </c>
      <c r="B32" s="16" t="s">
        <v>127</v>
      </c>
      <c r="C32" s="16" t="s">
        <v>114</v>
      </c>
      <c r="D32" s="16" t="s">
        <v>115</v>
      </c>
      <c r="E32" s="14" t="str">
        <f t="shared" si="0"/>
        <v>Watch Casio</v>
      </c>
      <c r="F32" s="18">
        <v>100</v>
      </c>
      <c r="G32" s="16">
        <v>20</v>
      </c>
      <c r="H32" s="11" t="s">
        <v>75</v>
      </c>
    </row>
    <row r="33" spans="1:2">
      <c r="A33"/>
    </row>
    <row r="34" spans="1:2">
      <c r="A34"/>
    </row>
    <row r="35" spans="1:2" ht="105.6">
      <c r="A35"/>
      <c r="B35" s="27" t="s">
        <v>133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27" workbookViewId="0">
      <selection activeCell="B41" sqref="B41"/>
    </sheetView>
  </sheetViews>
  <sheetFormatPr defaultRowHeight="13.2"/>
  <cols>
    <col min="1" max="1" width="12.77734375" customWidth="1"/>
    <col min="2" max="2" width="34.5546875" customWidth="1"/>
    <col min="3" max="3" width="13" customWidth="1"/>
    <col min="4" max="4" width="10.109375" customWidth="1"/>
    <col min="5" max="5" width="10.5546875" customWidth="1"/>
    <col min="6" max="6" width="14" customWidth="1"/>
  </cols>
  <sheetData>
    <row r="1" spans="1:6">
      <c r="A1" s="24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6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6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</row>
    <row r="4" spans="1:6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</row>
    <row r="5" spans="1:6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</row>
    <row r="6" spans="1:6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1" t="s">
        <v>75</v>
      </c>
    </row>
    <row r="7" spans="1:6">
      <c r="A7" s="11" t="s">
        <v>43</v>
      </c>
      <c r="B7" s="11" t="s">
        <v>44</v>
      </c>
      <c r="C7" s="11" t="s">
        <v>45</v>
      </c>
      <c r="D7" s="11">
        <v>130</v>
      </c>
      <c r="E7" s="11">
        <v>45</v>
      </c>
      <c r="F7" s="10" t="s">
        <v>28</v>
      </c>
    </row>
    <row r="8" spans="1:6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6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6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6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6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6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0" t="s">
        <v>32</v>
      </c>
    </row>
    <row r="14" spans="1:6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1" t="s">
        <v>36</v>
      </c>
    </row>
    <row r="15" spans="1:6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0" t="s">
        <v>28</v>
      </c>
    </row>
    <row r="16" spans="1:6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28</v>
      </c>
    </row>
    <row r="17" spans="1:6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28</v>
      </c>
    </row>
    <row r="19" spans="1:6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>
      <c r="A21" s="11" t="s">
        <v>83</v>
      </c>
      <c r="B21" s="11" t="s">
        <v>84</v>
      </c>
      <c r="C21" s="11" t="s">
        <v>85</v>
      </c>
      <c r="D21" s="11">
        <v>130</v>
      </c>
      <c r="E21" s="11">
        <v>10</v>
      </c>
      <c r="F21" s="11" t="s">
        <v>59</v>
      </c>
    </row>
    <row r="22" spans="1:6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 t="s">
        <v>28</v>
      </c>
    </row>
    <row r="25" spans="1:6">
      <c r="A25" s="10" t="s">
        <v>95</v>
      </c>
      <c r="B25" s="10" t="s">
        <v>96</v>
      </c>
      <c r="C25" s="10" t="s">
        <v>97</v>
      </c>
      <c r="D25" s="10">
        <v>800</v>
      </c>
      <c r="E25" s="10">
        <v>45</v>
      </c>
      <c r="F25" s="10" t="s">
        <v>28</v>
      </c>
    </row>
    <row r="26" spans="1:6">
      <c r="A26" s="11" t="s">
        <v>98</v>
      </c>
      <c r="B26" s="11" t="s">
        <v>81</v>
      </c>
      <c r="C26" s="11" t="s">
        <v>99</v>
      </c>
      <c r="D26" s="11">
        <v>130</v>
      </c>
      <c r="E26" s="11">
        <v>25</v>
      </c>
      <c r="F26" s="11" t="s">
        <v>32</v>
      </c>
    </row>
    <row r="27" spans="1:6">
      <c r="A27" s="10" t="s">
        <v>100</v>
      </c>
      <c r="B27" s="10" t="s">
        <v>51</v>
      </c>
      <c r="C27" s="10" t="s">
        <v>101</v>
      </c>
      <c r="D27" s="10">
        <v>400</v>
      </c>
      <c r="E27" s="10">
        <v>40</v>
      </c>
      <c r="F27" s="10" t="s">
        <v>36</v>
      </c>
    </row>
    <row r="28" spans="1:6">
      <c r="A28" s="10" t="s">
        <v>102</v>
      </c>
      <c r="B28" s="10" t="s">
        <v>103</v>
      </c>
      <c r="C28" s="10" t="s">
        <v>104</v>
      </c>
      <c r="D28" s="10">
        <v>60</v>
      </c>
      <c r="E28" s="10">
        <v>30</v>
      </c>
      <c r="F28" s="10" t="s">
        <v>32</v>
      </c>
    </row>
    <row r="29" spans="1:6">
      <c r="A29" s="11" t="s">
        <v>105</v>
      </c>
      <c r="B29" s="11" t="s">
        <v>106</v>
      </c>
      <c r="C29" s="11" t="s">
        <v>107</v>
      </c>
      <c r="D29" s="11">
        <v>40</v>
      </c>
      <c r="E29" s="11">
        <v>10</v>
      </c>
      <c r="F29" s="11" t="s">
        <v>36</v>
      </c>
    </row>
    <row r="30" spans="1:6">
      <c r="A30" s="10" t="s">
        <v>108</v>
      </c>
      <c r="B30" s="10" t="s">
        <v>93</v>
      </c>
      <c r="C30" s="10" t="s">
        <v>109</v>
      </c>
      <c r="D30" s="10">
        <v>130</v>
      </c>
      <c r="E30" s="10">
        <v>5</v>
      </c>
      <c r="F30" s="10" t="s">
        <v>28</v>
      </c>
    </row>
    <row r="31" spans="1:6">
      <c r="A31" s="11" t="s">
        <v>110</v>
      </c>
      <c r="B31" s="11" t="s">
        <v>111</v>
      </c>
      <c r="C31" s="11" t="s">
        <v>112</v>
      </c>
      <c r="D31" s="11">
        <v>50</v>
      </c>
      <c r="E31" s="11">
        <v>50</v>
      </c>
      <c r="F31" s="11" t="s">
        <v>32</v>
      </c>
    </row>
    <row r="32" spans="1:6">
      <c r="A32" s="11" t="s">
        <v>113</v>
      </c>
      <c r="B32" s="11" t="s">
        <v>114</v>
      </c>
      <c r="C32" s="11" t="s">
        <v>115</v>
      </c>
      <c r="D32" s="11">
        <v>100</v>
      </c>
      <c r="E32" s="11">
        <v>20</v>
      </c>
      <c r="F32" s="11" t="s">
        <v>75</v>
      </c>
    </row>
    <row r="36" spans="2:2" ht="39.6">
      <c r="B36" s="28" t="s">
        <v>134</v>
      </c>
    </row>
    <row r="37" spans="2:2" ht="52.8">
      <c r="B37" s="28" t="s">
        <v>135</v>
      </c>
    </row>
  </sheetData>
  <conditionalFormatting sqref="D1:D32 D36:D1048576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{FA7082BE-696E-4FFE-BC34-8D14BDA877CA}</x14:id>
        </ext>
      </extLst>
    </cfRule>
  </conditionalFormatting>
  <conditionalFormatting sqref="F1:F1048576">
    <cfRule type="expression" dxfId="0" priority="1">
      <formula>$F1="Electronics"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082BE-696E-4FFE-BC34-8D14BDA877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D1:D32 D36:D1048576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Dataset</vt:lpstr>
      <vt:lpstr>Solution1</vt:lpstr>
      <vt:lpstr>Solution2</vt:lpstr>
      <vt:lpstr>Solution3</vt:lpstr>
      <vt:lpstr>Solution4</vt:lpstr>
      <vt:lpstr>Solution5</vt:lpstr>
      <vt:lpstr>Solution6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2026-09-22T20:54:53Z</dcterms:created>
  <dcterms:modified xsi:type="dcterms:W3CDTF">2026-09-24T17:41:55Z</dcterms:modified>
</cp:coreProperties>
</file>